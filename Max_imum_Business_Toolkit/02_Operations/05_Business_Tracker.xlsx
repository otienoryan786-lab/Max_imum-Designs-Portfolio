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Pricing" sheetId="3" state="visible" r:id="rId5"/>
    <sheet name="Projects" sheetId="4" state="visible" r:id="rId6"/>
    <sheet name="Time Log" sheetId="5" state="visible" r:id="rId7"/>
    <sheet name="Payments" sheetId="6" state="visible" r:id="rId8"/>
    <sheet name="Clients &amp;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<sst xmlns="http://schemas.openxmlformats.org/spreadsheetml/2006/main" count="173" uniqueCount="138">
  <si>
    <t xml:space="preserve">Max_imum Designs: Business Tracker</t>
  </si>
  <si>
    <t xml:space="preserve">One workbook for projects, hours, payments, client data and profit per job. Prices come from the 2026/27 rate card.</t>
  </si>
  <si>
    <t xml:space="preserve">How to use</t>
  </si>
  <si>
    <t xml:space="preserve">1</t>
  </si>
  <si>
    <t xml:space="preserve">Add each new job on the Projects sheet (blue cells are for you to type). Give every job a short ID such as P001.</t>
  </si>
  <si>
    <t xml:space="preserve">2</t>
  </si>
  <si>
    <t xml:space="preserve">Log every work session on Time Log (date, project ID, task, hours).</t>
  </si>
  <si>
    <t xml:space="preserve">3</t>
  </si>
  <si>
    <t xml:space="preserve">Log every M-Pesa or bank payment on Payments (project ID, type, amount, transaction code).</t>
  </si>
  <si>
    <t xml:space="preserve">4</t>
  </si>
  <si>
    <t xml:space="preserve">Projects calculates deposit due, paid, balance, hours and your real hourly rate. Dashboard summarises everything.</t>
  </si>
  <si>
    <t xml:space="preserve">5</t>
  </si>
  <si>
    <t xml:space="preserve">Clients &amp; Data is your Data Protection Act register: what data you hold, why, and when to delete it.</t>
  </si>
  <si>
    <t xml:space="preserve">Colours</t>
  </si>
  <si>
    <t xml:space="preserve">Blue text = you type here. Black text = formula, do not overwrite. Row marked EXAMPLE is a sample: replace or delete it.</t>
  </si>
  <si>
    <t xml:space="preserve">Assumptions</t>
  </si>
  <si>
    <t xml:space="preserve">Hours per service on the Pricing sheet are planning estimates by the author, not market data. Replace them with your own tracked hours after 5 to 10 jobs.</t>
  </si>
  <si>
    <t xml:space="preserve">Dashboard</t>
  </si>
  <si>
    <t xml:space="preserve">Updates automatically from the other sheets (example row included in the totals until you delete it).</t>
  </si>
  <si>
    <t xml:space="preserve">Total quoted (KES)</t>
  </si>
  <si>
    <t xml:space="preserve">Total received (KES)</t>
  </si>
  <si>
    <t xml:space="preserve">Still owed on active jobs (KES)</t>
  </si>
  <si>
    <t xml:space="preserve">Hours logged</t>
  </si>
  <si>
    <t xml:space="preserve">Average real KES per hour</t>
  </si>
  <si>
    <t xml:space="preserve">Target KES per hour</t>
  </si>
  <si>
    <t xml:space="preserve">Projects in progress</t>
  </si>
  <si>
    <t xml:space="preserve">Projects delivered or paid</t>
  </si>
  <si>
    <t xml:space="preserve">Enquiries not yet won</t>
  </si>
  <si>
    <t xml:space="preserve">Contracts missing signature</t>
  </si>
  <si>
    <t xml:space="preserve">Portfolio consent still needed</t>
  </si>
  <si>
    <t xml:space="preserve">Rule of thumb: if Average real KES per hour is below the target, raise prices or cut scope on the next quote.</t>
  </si>
  <si>
    <t xml:space="preserve">Pricing and profitability</t>
  </si>
  <si>
    <t xml:space="preserve">Target hourly rate is an input. "Meets target?" compares the price to your estimated hours.</t>
  </si>
  <si>
    <t xml:space="preserve">Target hourly rate (KES)</t>
  </si>
  <si>
    <t xml:space="preserve">Assumption: set by you. Change it as your skill and demand grow.</t>
  </si>
  <si>
    <t xml:space="preserve">KES per USD</t>
  </si>
  <si>
    <t xml:space="preserve">Service</t>
  </si>
  <si>
    <t xml:space="preserve">Category</t>
  </si>
  <si>
    <t xml:space="preserve">Price (KES)</t>
  </si>
  <si>
    <t xml:space="preserve">Est. hours</t>
  </si>
  <si>
    <t xml:space="preserve">Price per hour (KES)</t>
  </si>
  <si>
    <t xml:space="preserve">Meets target?</t>
  </si>
  <si>
    <t xml:space="preserve">USD (at rate below)</t>
  </si>
  <si>
    <t xml:space="preserve">Logo Starter</t>
  </si>
  <si>
    <t xml:space="preserve">Logo</t>
  </si>
  <si>
    <t xml:space="preserve">Logo Standard</t>
  </si>
  <si>
    <t xml:space="preserve">Logo Premium</t>
  </si>
  <si>
    <t xml:space="preserve">Brand Identity Kit</t>
  </si>
  <si>
    <t xml:space="preserve">Brand</t>
  </si>
  <si>
    <t xml:space="preserve">Full Brand Suite</t>
  </si>
  <si>
    <t xml:space="preserve">Business card</t>
  </si>
  <si>
    <t xml:space="preserve">Print</t>
  </si>
  <si>
    <t xml:space="preserve">Flyer / poster</t>
  </si>
  <si>
    <t xml:space="preserve">Brochure</t>
  </si>
  <si>
    <t xml:space="preserve">Menu (1-2 pages)</t>
  </si>
  <si>
    <t xml:space="preserve">Catalogue / booklet (8 pp)</t>
  </si>
  <si>
    <t xml:space="preserve">Letterhead / invoice / receipt</t>
  </si>
  <si>
    <t xml:space="preserve">Certificate</t>
  </si>
  <si>
    <t xml:space="preserve">T-shirt / merch design</t>
  </si>
  <si>
    <t xml:space="preserve">Banner / roll-up</t>
  </si>
  <si>
    <t xml:space="preserve">Invitation card</t>
  </si>
  <si>
    <t xml:space="preserve">Programme booklet (8 pp)</t>
  </si>
  <si>
    <t xml:space="preserve">Social media post</t>
  </si>
  <si>
    <t xml:space="preserve">Digital</t>
  </si>
  <si>
    <t xml:space="preserve">Post pack (5)</t>
  </si>
  <si>
    <t xml:space="preserve">Post pack (10)</t>
  </si>
  <si>
    <t xml:space="preserve">Story / reel cover / thumbnail</t>
  </si>
  <si>
    <t xml:space="preserve">Profile and cover kit</t>
  </si>
  <si>
    <t xml:space="preserve">Editable post templates (5)</t>
  </si>
  <si>
    <t xml:space="preserve">Digital ad / web banner</t>
  </si>
  <si>
    <t xml:space="preserve">Pitch deck (10 slides)</t>
  </si>
  <si>
    <t xml:space="preserve">Documents</t>
  </si>
  <si>
    <t xml:space="preserve">Company profile (5-10 pp)</t>
  </si>
  <si>
    <t xml:space="preserve">Company profile (11-20 pp)</t>
  </si>
  <si>
    <t xml:space="preserve">Logo redraw / vectorise</t>
  </si>
  <si>
    <t xml:space="preserve">Retainer Lite (per month)</t>
  </si>
  <si>
    <t xml:space="preserve">Retainer</t>
  </si>
  <si>
    <t xml:space="preserve">Retainer Growth (per month)</t>
  </si>
  <si>
    <t xml:space="preserve">Retainer Max (per month)</t>
  </si>
  <si>
    <t xml:space="preserve">Projects</t>
  </si>
  <si>
    <t xml:space="preserve">Type in the blue columns. Columns J onward calculate automatically.</t>
  </si>
  <si>
    <t xml:space="preserve">ID</t>
  </si>
  <si>
    <t xml:space="preserve">Client</t>
  </si>
  <si>
    <t xml:space="preserve">Project</t>
  </si>
  <si>
    <t xml:space="preserve">Start</t>
  </si>
  <si>
    <t xml:space="preserve">Due</t>
  </si>
  <si>
    <t xml:space="preserve">Status</t>
  </si>
  <si>
    <t xml:space="preserve">Quote (KES)</t>
  </si>
  <si>
    <t xml:space="preserve">Deposit due (50%)</t>
  </si>
  <si>
    <t xml:space="preserve">Paid to date</t>
  </si>
  <si>
    <t xml:space="preserve">Balance due</t>
  </si>
  <si>
    <t xml:space="preserve">Real KES/hour</t>
  </si>
  <si>
    <t xml:space="preserve">Revision rounds used</t>
  </si>
  <si>
    <t xml:space="preserve">Contract signed?</t>
  </si>
  <si>
    <t xml:space="preserve">Handover cert signed?</t>
  </si>
  <si>
    <t xml:space="preserve">Portfolio consent?</t>
  </si>
  <si>
    <t xml:space="preserve">Notes</t>
  </si>
  <si>
    <t xml:space="preserve">P000 EXAMPLE</t>
  </si>
  <si>
    <t xml:space="preserve">Wanjiru's Bakery</t>
  </si>
  <si>
    <t xml:space="preserve">Logo and 5 posts</t>
  </si>
  <si>
    <t xml:space="preserve">In progress</t>
  </si>
  <si>
    <t xml:space="preserve">Yes</t>
  </si>
  <si>
    <t xml:space="preserve">No</t>
  </si>
  <si>
    <t xml:space="preserve">Example row: delete or overwrite</t>
  </si>
  <si>
    <t xml:space="preserve">Time log</t>
  </si>
  <si>
    <t xml:space="preserve">One row per work session. Hours feed the Projects sheet.</t>
  </si>
  <si>
    <t xml:space="preserve">Date</t>
  </si>
  <si>
    <t xml:space="preserve">Project ID</t>
  </si>
  <si>
    <t xml:space="preserve">Task</t>
  </si>
  <si>
    <t xml:space="preserve">Hours</t>
  </si>
  <si>
    <t xml:space="preserve">Example: research and sketches</t>
  </si>
  <si>
    <t xml:space="preserve">Payments received</t>
  </si>
  <si>
    <t xml:space="preserve">Record every deposit and balance. The M-Pesa code is your proof of payment.</t>
  </si>
  <si>
    <t xml:space="preserve">Type</t>
  </si>
  <si>
    <t xml:space="preserve">Amount (KES)</t>
  </si>
  <si>
    <t xml:space="preserve">M-Pesa / bank code</t>
  </si>
  <si>
    <t xml:space="preserve">Invoice no.</t>
  </si>
  <si>
    <t xml:space="preserve">Receipt no.</t>
  </si>
  <si>
    <t xml:space="preserve">Deposit</t>
  </si>
  <si>
    <t xml:space="preserve">EXAMPLE123</t>
  </si>
  <si>
    <t xml:space="preserve">INV-001</t>
  </si>
  <si>
    <t xml:space="preserve">RCT-001</t>
  </si>
  <si>
    <t xml:space="preserve">Clients and data register</t>
  </si>
  <si>
    <t xml:space="preserve">Data Protection Act, 2019: record what personal data you hold, why, and when to delete it.</t>
  </si>
  <si>
    <t xml:space="preserve">Phone / email</t>
  </si>
  <si>
    <t xml:space="preserve">Personal data held</t>
  </si>
  <si>
    <t xml:space="preserve">Why (lawful basis)</t>
  </si>
  <si>
    <t xml:space="preserve">Marketing consent?</t>
  </si>
  <si>
    <t xml:space="preserve">Source of lead</t>
  </si>
  <si>
    <t xml:space="preserve">Project end date</t>
  </si>
  <si>
    <t xml:space="preserve">Delete / archive by</t>
  </si>
  <si>
    <t xml:space="preserve">Wanjiru's Bakery (EXAMPLE)</t>
  </si>
  <si>
    <t xml:space="preserve">example@email.com</t>
  </si>
  <si>
    <t xml:space="preserve">Name, phone, logo files, M-Pesa code</t>
  </si>
  <si>
    <t xml:space="preserve">Contract; legal duty (tax records)</t>
  </si>
  <si>
    <t xml:space="preserve">Instagram</t>
  </si>
  <si>
    <t xml:space="preserve">Example row</t>
  </si>
  <si>
    <t xml:space="preserve">Delete / archive by = project end date + 24 months (assumption from the Privacy Policy; invoices and receipts are kept at least 5 years for tax, so confirm with KRA).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</si>
</sst>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&quot;US$&quot;#,##0"/>
    <numFmt numFmtId="168" formatCode="dd\ mmm\ 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0B24"/>
      <name val="Arial"/>
      <family val="0"/>
      <charset val="1"/>
    </font>
    <font>
      <i val="true"/>
      <sz val="10"/>
      <color rgb="FF6B6785"/>
      <name val="Arial"/>
      <family val="0"/>
      <charset val="1"/>
    </font>
    <font>
      <b val="true"/>
      <sz val="10"/>
      <color rgb="FF5B2E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5B2EFF"/>
      <name val="Arial"/>
      <family val="0"/>
      <charset val="1"/>
    </font>
    <font>
      <i val="true"/>
      <sz val="9"/>
      <color rgb="FF6B678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3F1FF"/>
        <bgColor rgb="FFFFFFFF"/>
      </patternFill>
    </fill>
    <fill>
      <patternFill patternType="solid">
        <fgColor rgb="FF0E0B24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C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E0B24"/>
      <rgbColor rgb="FF808000"/>
      <rgbColor rgb="FF800080"/>
      <rgbColor rgb="FF008080"/>
      <rgbColor rgb="FFC0C0C0"/>
      <rgbColor rgb="FF808080"/>
      <rgbColor rgb="FF9999FF"/>
      <rgbColor rgb="FF993366"/>
      <rgbColor rgb="FFF3F1FF"/>
      <rgbColor rgb="FFCCFFFF"/>
      <rgbColor rgb="FF660066"/>
      <rgbColor rgb="FFFF8080"/>
      <rgbColor rgb="FF0066CC"/>
      <rgbColor rgb="FFD8CF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785"/>
      <rgbColor rgb="FF969696"/>
      <rgbColor rgb="FF003366"/>
      <rgbColor rgb="FF339966"/>
      <rgbColor rgb="FF003300"/>
      <rgbColor rgb="FF333300"/>
      <rgbColor rgb="FF993300"/>
      <rgbColor rgb="FF993366"/>
      <rgbColor rgb="FF5B2E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23.85" hidden="false" customHeight="false" outlineLevel="0" collapsed="false">
      <c r="A11" s="3" t="s">
        <v>15</v>
      </c>
      <c r="B1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5" t="s">
        <v>19</v>
      </c>
      <c r="B4" s="6" t="n">
        <f aca="false">SUM(Projects!H5:H154)</f>
        <v>12500</v>
      </c>
    </row>
    <row r="5" customFormat="false" ht="15" hidden="false" customHeight="false" outlineLevel="0" collapsed="false">
      <c r="A5" s="5" t="s">
        <v>20</v>
      </c>
      <c r="B5" s="6" t="n">
        <f aca="false">SUM(Payments!D5:D400)</f>
        <v>6250</v>
      </c>
    </row>
    <row r="6" customFormat="false" ht="15" hidden="false" customHeight="false" outlineLevel="0" collapsed="false">
      <c r="A6" s="5" t="s">
        <v>21</v>
      </c>
      <c r="B6" s="6" t="n">
        <f aca="false">SUMIFS(Projects!K5:K154,Projects!G5:G154,"&lt;&gt;Cancelled")</f>
        <v>6250</v>
      </c>
    </row>
    <row r="7" customFormat="false" ht="15" hidden="false" customHeight="false" outlineLevel="0" collapsed="false">
      <c r="A7" s="5" t="s">
        <v>22</v>
      </c>
      <c r="B7" s="6" t="n">
        <f aca="false">SUM('Time Log'!D5:D400)</f>
        <v>2.5</v>
      </c>
    </row>
    <row r="8" customFormat="false" ht="15" hidden="false" customHeight="false" outlineLevel="0" collapsed="false">
      <c r="A8" s="5" t="s">
        <v>23</v>
      </c>
      <c r="B8" s="7" t="n">
        <f aca="false">IF(B7=0,"",SUMIFS(Projects!H5:H154,Projects!L5:L154,"&gt;0")/SUMIFS(Projects!L5:L154,Projects!L5:L154,"&gt;0"))</f>
        <v>5000</v>
      </c>
    </row>
    <row r="9" customFormat="false" ht="15" hidden="false" customHeight="false" outlineLevel="0" collapsed="false">
      <c r="A9" s="5" t="s">
        <v>24</v>
      </c>
      <c r="B9" s="6" t="n">
        <f aca="false">Pricing!C3</f>
        <v>600</v>
      </c>
    </row>
    <row r="10" customFormat="false" ht="15" hidden="false" customHeight="false" outlineLevel="0" collapsed="false">
      <c r="A10" s="5" t="s">
        <v>25</v>
      </c>
      <c r="B10" s="6" t="n">
        <f aca="false">COUNTIF(Projects!G5:G154,"In progress")+COUNTIF(Projects!G5:G154,"Awaiting feedback")</f>
        <v>1</v>
      </c>
    </row>
    <row r="11" customFormat="false" ht="15" hidden="false" customHeight="false" outlineLevel="0" collapsed="false">
      <c r="A11" s="5" t="s">
        <v>26</v>
      </c>
      <c r="B11" s="6" t="n">
        <f aca="false">COUNTIF(Projects!G5:G154,"Delivered")+COUNTIF(Projects!G5:G154,"Paid in full")</f>
        <v>0</v>
      </c>
    </row>
    <row r="12" customFormat="false" ht="15" hidden="false" customHeight="false" outlineLevel="0" collapsed="false">
      <c r="A12" s="5" t="s">
        <v>27</v>
      </c>
      <c r="B12" s="6" t="n">
        <f aca="false">COUNTIF(Projects!G5:G154,"Enquiry")+COUNTIF(Projects!G5:G154,"Quoted")</f>
        <v>0</v>
      </c>
    </row>
    <row r="13" customFormat="false" ht="15" hidden="false" customHeight="false" outlineLevel="0" collapsed="false">
      <c r="A13" s="5" t="s">
        <v>28</v>
      </c>
      <c r="B13" s="6" t="n">
        <f aca="false">COUNTIFS(Projects!A5:A154,"&lt;&gt;",Projects!O5:O154,"&lt;&gt;Yes")</f>
        <v>0</v>
      </c>
    </row>
    <row r="14" customFormat="false" ht="15" hidden="false" customHeight="false" outlineLevel="0" collapsed="false">
      <c r="A14" s="5" t="s">
        <v>29</v>
      </c>
      <c r="B14" s="6" t="n">
        <f aca="false">COUNTIFS(Projects!A5:A154,"&lt;&gt;",Projects!Q5:Q154,"&lt;&gt;Yes")</f>
        <v>0</v>
      </c>
    </row>
    <row r="16" customFormat="false" ht="15" hidden="false" customHeight="false" outlineLevel="0" collapsed="false">
      <c r="A16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9" t="s">
        <v>33</v>
      </c>
      <c r="C3" s="10" t="n">
        <v>600</v>
      </c>
      <c r="D3" s="8" t="s">
        <v>34</v>
      </c>
      <c r="H3" s="9" t="s">
        <v>35</v>
      </c>
      <c r="I3" s="10" t="n">
        <v>130</v>
      </c>
    </row>
    <row r="5" customFormat="false" ht="31.5" hidden="false" customHeight="true" outlineLevel="0" collapsed="false">
      <c r="A5" s="11" t="s">
        <v>36</v>
      </c>
      <c r="B5" s="11" t="s">
        <v>37</v>
      </c>
      <c r="C5" s="11" t="s">
        <v>38</v>
      </c>
      <c r="D5" s="11" t="s">
        <v>39</v>
      </c>
      <c r="E5" s="11" t="s">
        <v>40</v>
      </c>
      <c r="F5" s="11" t="s">
        <v>41</v>
      </c>
      <c r="G5" s="11" t="s">
        <v>42</v>
      </c>
    </row>
    <row r="6" customFormat="false" ht="15" hidden="false" customHeight="false" outlineLevel="0" collapsed="false">
      <c r="A6" s="12" t="s">
        <v>43</v>
      </c>
      <c r="B6" s="12" t="s">
        <v>44</v>
      </c>
      <c r="C6" s="13" t="n">
        <v>4500</v>
      </c>
      <c r="D6" s="14" t="n">
        <v>5</v>
      </c>
      <c r="E6" s="15" t="n">
        <f aca="false">IF(D6&gt;0,C6/D6,"")</f>
        <v>900</v>
      </c>
      <c r="F6" s="12" t="str">
        <f aca="false">IF(E6="","",IF(E6&gt;=$C$3,"Yes","Below target"))</f>
        <v>Yes</v>
      </c>
      <c r="G6" s="16" t="n">
        <f aca="false">ROUND(C6/$I$3,0)</f>
        <v>35</v>
      </c>
    </row>
    <row r="7" customFormat="false" ht="15" hidden="false" customHeight="false" outlineLevel="0" collapsed="false">
      <c r="A7" s="12" t="s">
        <v>45</v>
      </c>
      <c r="B7" s="12" t="s">
        <v>44</v>
      </c>
      <c r="C7" s="13" t="n">
        <v>8500</v>
      </c>
      <c r="D7" s="14" t="n">
        <v>9</v>
      </c>
      <c r="E7" s="15" t="n">
        <f aca="false">IF(D7&gt;0,C7/D7,"")</f>
        <v>944.444444444445</v>
      </c>
      <c r="F7" s="12" t="str">
        <f aca="false">IF(E7="","",IF(E7&gt;=$C$3,"Yes","Below target"))</f>
        <v>Yes</v>
      </c>
      <c r="G7" s="16" t="n">
        <f aca="false">ROUND(C7/$I$3,0)</f>
        <v>65</v>
      </c>
    </row>
    <row r="8" customFormat="false" ht="15" hidden="false" customHeight="false" outlineLevel="0" collapsed="false">
      <c r="A8" s="12" t="s">
        <v>46</v>
      </c>
      <c r="B8" s="12" t="s">
        <v>44</v>
      </c>
      <c r="C8" s="13" t="n">
        <v>15000</v>
      </c>
      <c r="D8" s="14" t="n">
        <v>14</v>
      </c>
      <c r="E8" s="15" t="n">
        <f aca="false">IF(D8&gt;0,C8/D8,"")</f>
        <v>1071.42857142857</v>
      </c>
      <c r="F8" s="12" t="str">
        <f aca="false">IF(E8="","",IF(E8&gt;=$C$3,"Yes","Below target"))</f>
        <v>Yes</v>
      </c>
      <c r="G8" s="16" t="n">
        <f aca="false">ROUND(C8/$I$3,0)</f>
        <v>115</v>
      </c>
    </row>
    <row r="9" customFormat="false" ht="15" hidden="false" customHeight="false" outlineLevel="0" collapsed="false">
      <c r="A9" s="12" t="s">
        <v>47</v>
      </c>
      <c r="B9" s="12" t="s">
        <v>48</v>
      </c>
      <c r="C9" s="13" t="n">
        <v>20000</v>
      </c>
      <c r="D9" s="14" t="n">
        <v>28</v>
      </c>
      <c r="E9" s="15" t="n">
        <f aca="false">IF(D9&gt;0,C9/D9,"")</f>
        <v>714.285714285714</v>
      </c>
      <c r="F9" s="12" t="str">
        <f aca="false">IF(E9="","",IF(E9&gt;=$C$3,"Yes","Below target"))</f>
        <v>Yes</v>
      </c>
      <c r="G9" s="16" t="n">
        <f aca="false">ROUND(C9/$I$3,0)</f>
        <v>154</v>
      </c>
    </row>
    <row r="10" customFormat="false" ht="15" hidden="false" customHeight="false" outlineLevel="0" collapsed="false">
      <c r="A10" s="12" t="s">
        <v>49</v>
      </c>
      <c r="B10" s="12" t="s">
        <v>48</v>
      </c>
      <c r="C10" s="13" t="n">
        <v>35000</v>
      </c>
      <c r="D10" s="14" t="n">
        <v>50</v>
      </c>
      <c r="E10" s="15" t="n">
        <f aca="false">IF(D10&gt;0,C10/D10,"")</f>
        <v>700</v>
      </c>
      <c r="F10" s="12" t="str">
        <f aca="false">IF(E10="","",IF(E10&gt;=$C$3,"Yes","Below target"))</f>
        <v>Yes</v>
      </c>
      <c r="G10" s="16" t="n">
        <f aca="false">ROUND(C10/$I$3,0)</f>
        <v>269</v>
      </c>
    </row>
    <row r="11" customFormat="false" ht="15" hidden="false" customHeight="false" outlineLevel="0" collapsed="false">
      <c r="A11" s="12" t="s">
        <v>50</v>
      </c>
      <c r="B11" s="12" t="s">
        <v>51</v>
      </c>
      <c r="C11" s="13" t="n">
        <v>2000</v>
      </c>
      <c r="D11" s="14" t="n">
        <v>2</v>
      </c>
      <c r="E11" s="15" t="n">
        <f aca="false">IF(D11&gt;0,C11/D11,"")</f>
        <v>1000</v>
      </c>
      <c r="F11" s="12" t="str">
        <f aca="false">IF(E11="","",IF(E11&gt;=$C$3,"Yes","Below target"))</f>
        <v>Yes</v>
      </c>
      <c r="G11" s="16" t="n">
        <f aca="false">ROUND(C11/$I$3,0)</f>
        <v>15</v>
      </c>
    </row>
    <row r="12" customFormat="false" ht="15" hidden="false" customHeight="false" outlineLevel="0" collapsed="false">
      <c r="A12" s="12" t="s">
        <v>52</v>
      </c>
      <c r="B12" s="12" t="s">
        <v>51</v>
      </c>
      <c r="C12" s="13" t="n">
        <v>2000</v>
      </c>
      <c r="D12" s="14" t="n">
        <v>2.5</v>
      </c>
      <c r="E12" s="15" t="n">
        <f aca="false">IF(D12&gt;0,C12/D12,"")</f>
        <v>800</v>
      </c>
      <c r="F12" s="12" t="str">
        <f aca="false">IF(E12="","",IF(E12&gt;=$C$3,"Yes","Below target"))</f>
        <v>Yes</v>
      </c>
      <c r="G12" s="16" t="n">
        <f aca="false">ROUND(C12/$I$3,0)</f>
        <v>15</v>
      </c>
    </row>
    <row r="13" customFormat="false" ht="15" hidden="false" customHeight="false" outlineLevel="0" collapsed="false">
      <c r="A13" s="12" t="s">
        <v>53</v>
      </c>
      <c r="B13" s="12" t="s">
        <v>51</v>
      </c>
      <c r="C13" s="13" t="n">
        <v>4500</v>
      </c>
      <c r="D13" s="14" t="n">
        <v>6</v>
      </c>
      <c r="E13" s="15" t="n">
        <f aca="false">IF(D13&gt;0,C13/D13,"")</f>
        <v>750</v>
      </c>
      <c r="F13" s="12" t="str">
        <f aca="false">IF(E13="","",IF(E13&gt;=$C$3,"Yes","Below target"))</f>
        <v>Yes</v>
      </c>
      <c r="G13" s="16" t="n">
        <f aca="false">ROUND(C13/$I$3,0)</f>
        <v>35</v>
      </c>
    </row>
    <row r="14" customFormat="false" ht="15" hidden="false" customHeight="false" outlineLevel="0" collapsed="false">
      <c r="A14" s="12" t="s">
        <v>54</v>
      </c>
      <c r="B14" s="12" t="s">
        <v>51</v>
      </c>
      <c r="C14" s="13" t="n">
        <v>3500</v>
      </c>
      <c r="D14" s="14" t="n">
        <v>4</v>
      </c>
      <c r="E14" s="15" t="n">
        <f aca="false">IF(D14&gt;0,C14/D14,"")</f>
        <v>875</v>
      </c>
      <c r="F14" s="12" t="str">
        <f aca="false">IF(E14="","",IF(E14&gt;=$C$3,"Yes","Below target"))</f>
        <v>Yes</v>
      </c>
      <c r="G14" s="16" t="n">
        <f aca="false">ROUND(C14/$I$3,0)</f>
        <v>27</v>
      </c>
    </row>
    <row r="15" customFormat="false" ht="15" hidden="false" customHeight="false" outlineLevel="0" collapsed="false">
      <c r="A15" s="12" t="s">
        <v>55</v>
      </c>
      <c r="B15" s="12" t="s">
        <v>51</v>
      </c>
      <c r="C15" s="13" t="n">
        <v>9000</v>
      </c>
      <c r="D15" s="14" t="n">
        <v>12</v>
      </c>
      <c r="E15" s="15" t="n">
        <f aca="false">IF(D15&gt;0,C15/D15,"")</f>
        <v>750</v>
      </c>
      <c r="F15" s="12" t="str">
        <f aca="false">IF(E15="","",IF(E15&gt;=$C$3,"Yes","Below target"))</f>
        <v>Yes</v>
      </c>
      <c r="G15" s="16" t="n">
        <f aca="false">ROUND(C15/$I$3,0)</f>
        <v>69</v>
      </c>
    </row>
    <row r="16" customFormat="false" ht="15" hidden="false" customHeight="false" outlineLevel="0" collapsed="false">
      <c r="A16" s="12" t="s">
        <v>56</v>
      </c>
      <c r="B16" s="12" t="s">
        <v>51</v>
      </c>
      <c r="C16" s="13" t="n">
        <v>1500</v>
      </c>
      <c r="D16" s="14" t="n">
        <v>1.5</v>
      </c>
      <c r="E16" s="15" t="n">
        <f aca="false">IF(D16&gt;0,C16/D16,"")</f>
        <v>1000</v>
      </c>
      <c r="F16" s="12" t="str">
        <f aca="false">IF(E16="","",IF(E16&gt;=$C$3,"Yes","Below target"))</f>
        <v>Yes</v>
      </c>
      <c r="G16" s="16" t="n">
        <f aca="false">ROUND(C16/$I$3,0)</f>
        <v>12</v>
      </c>
    </row>
    <row r="17" customFormat="false" ht="15" hidden="false" customHeight="false" outlineLevel="0" collapsed="false">
      <c r="A17" s="12" t="s">
        <v>57</v>
      </c>
      <c r="B17" s="12" t="s">
        <v>51</v>
      </c>
      <c r="C17" s="13" t="n">
        <v>1800</v>
      </c>
      <c r="D17" s="14" t="n">
        <v>1.5</v>
      </c>
      <c r="E17" s="15" t="n">
        <f aca="false">IF(D17&gt;0,C17/D17,"")</f>
        <v>1200</v>
      </c>
      <c r="F17" s="12" t="str">
        <f aca="false">IF(E17="","",IF(E17&gt;=$C$3,"Yes","Below target"))</f>
        <v>Yes</v>
      </c>
      <c r="G17" s="16" t="n">
        <f aca="false">ROUND(C17/$I$3,0)</f>
        <v>14</v>
      </c>
    </row>
    <row r="18" customFormat="false" ht="15" hidden="false" customHeight="false" outlineLevel="0" collapsed="false">
      <c r="A18" s="12" t="s">
        <v>58</v>
      </c>
      <c r="B18" s="12" t="s">
        <v>51</v>
      </c>
      <c r="C18" s="13" t="n">
        <v>2500</v>
      </c>
      <c r="D18" s="14" t="n">
        <v>3</v>
      </c>
      <c r="E18" s="15" t="n">
        <f aca="false">IF(D18&gt;0,C18/D18,"")</f>
        <v>833.333333333333</v>
      </c>
      <c r="F18" s="12" t="str">
        <f aca="false">IF(E18="","",IF(E18&gt;=$C$3,"Yes","Below target"))</f>
        <v>Yes</v>
      </c>
      <c r="G18" s="16" t="n">
        <f aca="false">ROUND(C18/$I$3,0)</f>
        <v>19</v>
      </c>
    </row>
    <row r="19" customFormat="false" ht="15" hidden="false" customHeight="false" outlineLevel="0" collapsed="false">
      <c r="A19" s="12" t="s">
        <v>59</v>
      </c>
      <c r="B19" s="12" t="s">
        <v>51</v>
      </c>
      <c r="C19" s="13" t="n">
        <v>2500</v>
      </c>
      <c r="D19" s="14" t="n">
        <v>3</v>
      </c>
      <c r="E19" s="15" t="n">
        <f aca="false">IF(D19&gt;0,C19/D19,"")</f>
        <v>833.333333333333</v>
      </c>
      <c r="F19" s="12" t="str">
        <f aca="false">IF(E19="","",IF(E19&gt;=$C$3,"Yes","Below target"))</f>
        <v>Yes</v>
      </c>
      <c r="G19" s="16" t="n">
        <f aca="false">ROUND(C19/$I$3,0)</f>
        <v>19</v>
      </c>
    </row>
    <row r="20" customFormat="false" ht="15" hidden="false" customHeight="false" outlineLevel="0" collapsed="false">
      <c r="A20" s="12" t="s">
        <v>60</v>
      </c>
      <c r="B20" s="12" t="s">
        <v>51</v>
      </c>
      <c r="C20" s="13" t="n">
        <v>2500</v>
      </c>
      <c r="D20" s="14" t="n">
        <v>3</v>
      </c>
      <c r="E20" s="15" t="n">
        <f aca="false">IF(D20&gt;0,C20/D20,"")</f>
        <v>833.333333333333</v>
      </c>
      <c r="F20" s="12" t="str">
        <f aca="false">IF(E20="","",IF(E20&gt;=$C$3,"Yes","Below target"))</f>
        <v>Yes</v>
      </c>
      <c r="G20" s="16" t="n">
        <f aca="false">ROUND(C20/$I$3,0)</f>
        <v>19</v>
      </c>
    </row>
    <row r="21" customFormat="false" ht="15" hidden="false" customHeight="false" outlineLevel="0" collapsed="false">
      <c r="A21" s="12" t="s">
        <v>61</v>
      </c>
      <c r="B21" s="12" t="s">
        <v>51</v>
      </c>
      <c r="C21" s="13" t="n">
        <v>5000</v>
      </c>
      <c r="D21" s="14" t="n">
        <v>7</v>
      </c>
      <c r="E21" s="15" t="n">
        <f aca="false">IF(D21&gt;0,C21/D21,"")</f>
        <v>714.285714285714</v>
      </c>
      <c r="F21" s="12" t="str">
        <f aca="false">IF(E21="","",IF(E21&gt;=$C$3,"Yes","Below target"))</f>
        <v>Yes</v>
      </c>
      <c r="G21" s="16" t="n">
        <f aca="false">ROUND(C21/$I$3,0)</f>
        <v>38</v>
      </c>
    </row>
    <row r="22" customFormat="false" ht="15" hidden="false" customHeight="false" outlineLevel="0" collapsed="false">
      <c r="A22" s="12" t="s">
        <v>62</v>
      </c>
      <c r="B22" s="12" t="s">
        <v>63</v>
      </c>
      <c r="C22" s="13" t="n">
        <v>1200</v>
      </c>
      <c r="D22" s="14" t="n">
        <v>1.2</v>
      </c>
      <c r="E22" s="15" t="n">
        <f aca="false">IF(D22&gt;0,C22/D22,"")</f>
        <v>1000</v>
      </c>
      <c r="F22" s="12" t="str">
        <f aca="false">IF(E22="","",IF(E22&gt;=$C$3,"Yes","Below target"))</f>
        <v>Yes</v>
      </c>
      <c r="G22" s="16" t="n">
        <f aca="false">ROUND(C22/$I$3,0)</f>
        <v>9</v>
      </c>
    </row>
    <row r="23" customFormat="false" ht="15" hidden="false" customHeight="false" outlineLevel="0" collapsed="false">
      <c r="A23" s="12" t="s">
        <v>64</v>
      </c>
      <c r="B23" s="12" t="s">
        <v>63</v>
      </c>
      <c r="C23" s="13" t="n">
        <v>5000</v>
      </c>
      <c r="D23" s="14" t="n">
        <v>5</v>
      </c>
      <c r="E23" s="15" t="n">
        <f aca="false">IF(D23&gt;0,C23/D23,"")</f>
        <v>1000</v>
      </c>
      <c r="F23" s="12" t="str">
        <f aca="false">IF(E23="","",IF(E23&gt;=$C$3,"Yes","Below target"))</f>
        <v>Yes</v>
      </c>
      <c r="G23" s="16" t="n">
        <f aca="false">ROUND(C23/$I$3,0)</f>
        <v>38</v>
      </c>
    </row>
    <row r="24" customFormat="false" ht="15" hidden="false" customHeight="false" outlineLevel="0" collapsed="false">
      <c r="A24" s="12" t="s">
        <v>65</v>
      </c>
      <c r="B24" s="12" t="s">
        <v>63</v>
      </c>
      <c r="C24" s="13" t="n">
        <v>9000</v>
      </c>
      <c r="D24" s="14" t="n">
        <v>9</v>
      </c>
      <c r="E24" s="15" t="n">
        <f aca="false">IF(D24&gt;0,C24/D24,"")</f>
        <v>1000</v>
      </c>
      <c r="F24" s="12" t="str">
        <f aca="false">IF(E24="","",IF(E24&gt;=$C$3,"Yes","Below target"))</f>
        <v>Yes</v>
      </c>
      <c r="G24" s="16" t="n">
        <f aca="false">ROUND(C24/$I$3,0)</f>
        <v>69</v>
      </c>
    </row>
    <row r="25" customFormat="false" ht="15" hidden="false" customHeight="false" outlineLevel="0" collapsed="false">
      <c r="A25" s="12" t="s">
        <v>66</v>
      </c>
      <c r="B25" s="12" t="s">
        <v>63</v>
      </c>
      <c r="C25" s="13" t="n">
        <v>1000</v>
      </c>
      <c r="D25" s="14" t="n">
        <v>1</v>
      </c>
      <c r="E25" s="15" t="n">
        <f aca="false">IF(D25&gt;0,C25/D25,"")</f>
        <v>1000</v>
      </c>
      <c r="F25" s="12" t="str">
        <f aca="false">IF(E25="","",IF(E25&gt;=$C$3,"Yes","Below target"))</f>
        <v>Yes</v>
      </c>
      <c r="G25" s="16" t="n">
        <f aca="false">ROUND(C25/$I$3,0)</f>
        <v>8</v>
      </c>
    </row>
    <row r="26" customFormat="false" ht="15" hidden="false" customHeight="false" outlineLevel="0" collapsed="false">
      <c r="A26" s="12" t="s">
        <v>67</v>
      </c>
      <c r="B26" s="12" t="s">
        <v>63</v>
      </c>
      <c r="C26" s="13" t="n">
        <v>3000</v>
      </c>
      <c r="D26" s="14" t="n">
        <v>3</v>
      </c>
      <c r="E26" s="15" t="n">
        <f aca="false">IF(D26&gt;0,C26/D26,"")</f>
        <v>1000</v>
      </c>
      <c r="F26" s="12" t="str">
        <f aca="false">IF(E26="","",IF(E26&gt;=$C$3,"Yes","Below target"))</f>
        <v>Yes</v>
      </c>
      <c r="G26" s="16" t="n">
        <f aca="false">ROUND(C26/$I$3,0)</f>
        <v>23</v>
      </c>
    </row>
    <row r="27" customFormat="false" ht="15" hidden="false" customHeight="false" outlineLevel="0" collapsed="false">
      <c r="A27" s="12" t="s">
        <v>68</v>
      </c>
      <c r="B27" s="12" t="s">
        <v>63</v>
      </c>
      <c r="C27" s="13" t="n">
        <v>6500</v>
      </c>
      <c r="D27" s="14" t="n">
        <v>8</v>
      </c>
      <c r="E27" s="15" t="n">
        <f aca="false">IF(D27&gt;0,C27/D27,"")</f>
        <v>812.5</v>
      </c>
      <c r="F27" s="12" t="str">
        <f aca="false">IF(E27="","",IF(E27&gt;=$C$3,"Yes","Below target"))</f>
        <v>Yes</v>
      </c>
      <c r="G27" s="16" t="n">
        <f aca="false">ROUND(C27/$I$3,0)</f>
        <v>50</v>
      </c>
    </row>
    <row r="28" customFormat="false" ht="15" hidden="false" customHeight="false" outlineLevel="0" collapsed="false">
      <c r="A28" s="12" t="s">
        <v>69</v>
      </c>
      <c r="B28" s="12" t="s">
        <v>63</v>
      </c>
      <c r="C28" s="13" t="n">
        <v>2000</v>
      </c>
      <c r="D28" s="14" t="n">
        <v>2</v>
      </c>
      <c r="E28" s="15" t="n">
        <f aca="false">IF(D28&gt;0,C28/D28,"")</f>
        <v>1000</v>
      </c>
      <c r="F28" s="12" t="str">
        <f aca="false">IF(E28="","",IF(E28&gt;=$C$3,"Yes","Below target"))</f>
        <v>Yes</v>
      </c>
      <c r="G28" s="16" t="n">
        <f aca="false">ROUND(C28/$I$3,0)</f>
        <v>15</v>
      </c>
    </row>
    <row r="29" customFormat="false" ht="15" hidden="false" customHeight="false" outlineLevel="0" collapsed="false">
      <c r="A29" s="12" t="s">
        <v>70</v>
      </c>
      <c r="B29" s="12" t="s">
        <v>71</v>
      </c>
      <c r="C29" s="13" t="n">
        <v>12000</v>
      </c>
      <c r="D29" s="14" t="n">
        <v>16</v>
      </c>
      <c r="E29" s="15" t="n">
        <f aca="false">IF(D29&gt;0,C29/D29,"")</f>
        <v>750</v>
      </c>
      <c r="F29" s="12" t="str">
        <f aca="false">IF(E29="","",IF(E29&gt;=$C$3,"Yes","Below target"))</f>
        <v>Yes</v>
      </c>
      <c r="G29" s="16" t="n">
        <f aca="false">ROUND(C29/$I$3,0)</f>
        <v>92</v>
      </c>
    </row>
    <row r="30" customFormat="false" ht="15" hidden="false" customHeight="false" outlineLevel="0" collapsed="false">
      <c r="A30" s="12" t="s">
        <v>72</v>
      </c>
      <c r="B30" s="12" t="s">
        <v>71</v>
      </c>
      <c r="C30" s="13" t="n">
        <v>12000</v>
      </c>
      <c r="D30" s="14" t="n">
        <v>16</v>
      </c>
      <c r="E30" s="15" t="n">
        <f aca="false">IF(D30&gt;0,C30/D30,"")</f>
        <v>750</v>
      </c>
      <c r="F30" s="12" t="str">
        <f aca="false">IF(E30="","",IF(E30&gt;=$C$3,"Yes","Below target"))</f>
        <v>Yes</v>
      </c>
      <c r="G30" s="16" t="n">
        <f aca="false">ROUND(C30/$I$3,0)</f>
        <v>92</v>
      </c>
    </row>
    <row r="31" customFormat="false" ht="15" hidden="false" customHeight="false" outlineLevel="0" collapsed="false">
      <c r="A31" s="12" t="s">
        <v>73</v>
      </c>
      <c r="B31" s="12" t="s">
        <v>71</v>
      </c>
      <c r="C31" s="13" t="n">
        <v>24000</v>
      </c>
      <c r="D31" s="14" t="n">
        <v>30</v>
      </c>
      <c r="E31" s="15" t="n">
        <f aca="false">IF(D31&gt;0,C31/D31,"")</f>
        <v>800</v>
      </c>
      <c r="F31" s="12" t="str">
        <f aca="false">IF(E31="","",IF(E31&gt;=$C$3,"Yes","Below target"))</f>
        <v>Yes</v>
      </c>
      <c r="G31" s="16" t="n">
        <f aca="false">ROUND(C31/$I$3,0)</f>
        <v>185</v>
      </c>
    </row>
    <row r="32" customFormat="false" ht="15" hidden="false" customHeight="false" outlineLevel="0" collapsed="false">
      <c r="A32" s="12" t="s">
        <v>74</v>
      </c>
      <c r="B32" s="12" t="s">
        <v>71</v>
      </c>
      <c r="C32" s="13" t="n">
        <v>1500</v>
      </c>
      <c r="D32" s="14" t="n">
        <v>1.5</v>
      </c>
      <c r="E32" s="15" t="n">
        <f aca="false">IF(D32&gt;0,C32/D32,"")</f>
        <v>1000</v>
      </c>
      <c r="F32" s="12" t="str">
        <f aca="false">IF(E32="","",IF(E32&gt;=$C$3,"Yes","Below target"))</f>
        <v>Yes</v>
      </c>
      <c r="G32" s="16" t="n">
        <f aca="false">ROUND(C32/$I$3,0)</f>
        <v>12</v>
      </c>
    </row>
    <row r="33" customFormat="false" ht="15" hidden="false" customHeight="false" outlineLevel="0" collapsed="false">
      <c r="A33" s="12" t="s">
        <v>75</v>
      </c>
      <c r="B33" s="12" t="s">
        <v>76</v>
      </c>
      <c r="C33" s="13" t="n">
        <v>8500</v>
      </c>
      <c r="D33" s="14" t="n">
        <v>10</v>
      </c>
      <c r="E33" s="15" t="n">
        <f aca="false">IF(D33&gt;0,C33/D33,"")</f>
        <v>850</v>
      </c>
      <c r="F33" s="12" t="str">
        <f aca="false">IF(E33="","",IF(E33&gt;=$C$3,"Yes","Below target"))</f>
        <v>Yes</v>
      </c>
      <c r="G33" s="16" t="n">
        <f aca="false">ROUND(C33/$I$3,0)</f>
        <v>65</v>
      </c>
    </row>
    <row r="34" customFormat="false" ht="15" hidden="false" customHeight="false" outlineLevel="0" collapsed="false">
      <c r="A34" s="12" t="s">
        <v>77</v>
      </c>
      <c r="B34" s="12" t="s">
        <v>76</v>
      </c>
      <c r="C34" s="13" t="n">
        <v>15000</v>
      </c>
      <c r="D34" s="14" t="n">
        <v>20</v>
      </c>
      <c r="E34" s="15" t="n">
        <f aca="false">IF(D34&gt;0,C34/D34,"")</f>
        <v>750</v>
      </c>
      <c r="F34" s="12" t="str">
        <f aca="false">IF(E34="","",IF(E34&gt;=$C$3,"Yes","Below target"))</f>
        <v>Yes</v>
      </c>
      <c r="G34" s="16" t="n">
        <f aca="false">ROUND(C34/$I$3,0)</f>
        <v>115</v>
      </c>
    </row>
    <row r="35" customFormat="false" ht="15" hidden="false" customHeight="false" outlineLevel="0" collapsed="false">
      <c r="A35" s="12" t="s">
        <v>78</v>
      </c>
      <c r="B35" s="12" t="s">
        <v>76</v>
      </c>
      <c r="C35" s="13" t="n">
        <v>22000</v>
      </c>
      <c r="D35" s="14" t="n">
        <v>30</v>
      </c>
      <c r="E35" s="15" t="n">
        <f aca="false">IF(D35&gt;0,C35/D35,"")</f>
        <v>733.333333333333</v>
      </c>
      <c r="F35" s="12" t="str">
        <f aca="false">IF(E35="","",IF(E35&gt;=$C$3,"Yes","Below target"))</f>
        <v>Yes</v>
      </c>
      <c r="G35" s="16" t="n">
        <f aca="false">ROUND(C35/$I$3,0)</f>
        <v>169</v>
      </c>
    </row>
  </sheetData>
  <conditionalFormatting sqref="F6:F35">
    <cfRule type="cellIs" priority="2" operator="equal" aboveAverage="0" equalAverage="0" bottom="0" percent="0" rank="0" text="" dxfId="0">
      <formula>"Below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30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1.5" hidden="false" customHeight="true" outlineLevel="0" collapsed="false">
      <c r="A4" s="11" t="s">
        <v>81</v>
      </c>
      <c r="B4" s="11" t="s">
        <v>82</v>
      </c>
      <c r="C4" s="11" t="s">
        <v>83</v>
      </c>
      <c r="D4" s="11" t="s">
        <v>36</v>
      </c>
      <c r="E4" s="11" t="s">
        <v>84</v>
      </c>
      <c r="F4" s="11" t="s">
        <v>85</v>
      </c>
      <c r="G4" s="11" t="s">
        <v>86</v>
      </c>
      <c r="H4" s="11" t="s">
        <v>87</v>
      </c>
      <c r="I4" s="11" t="s">
        <v>88</v>
      </c>
      <c r="J4" s="11" t="s">
        <v>89</v>
      </c>
      <c r="K4" s="11" t="s">
        <v>90</v>
      </c>
      <c r="L4" s="11" t="s">
        <v>22</v>
      </c>
      <c r="M4" s="11" t="s">
        <v>91</v>
      </c>
      <c r="N4" s="11" t="s">
        <v>92</v>
      </c>
      <c r="O4" s="11" t="s">
        <v>93</v>
      </c>
      <c r="P4" s="11" t="s">
        <v>94</v>
      </c>
      <c r="Q4" s="11" t="s">
        <v>95</v>
      </c>
      <c r="R4" s="11" t="s">
        <v>96</v>
      </c>
    </row>
    <row r="5" customFormat="false" ht="35.05" hidden="false" customHeight="false" outlineLevel="0" collapsed="false">
      <c r="A5" s="14" t="s">
        <v>97</v>
      </c>
      <c r="B5" s="14" t="s">
        <v>98</v>
      </c>
      <c r="C5" s="14" t="s">
        <v>99</v>
      </c>
      <c r="D5" s="14" t="s">
        <v>45</v>
      </c>
      <c r="E5" s="17" t="n">
        <v>46329</v>
      </c>
      <c r="F5" s="17" t="n">
        <v>46338</v>
      </c>
      <c r="G5" s="14" t="s">
        <v>100</v>
      </c>
      <c r="H5" s="13" t="n">
        <v>12500</v>
      </c>
      <c r="I5" s="15" t="n">
        <f aca="false">IF(A5="","",H5*0.5)</f>
        <v>6250</v>
      </c>
      <c r="J5" s="15" t="n">
        <f aca="false">IF(A5="","",SUMIFS(Payments!$D$5:$D$2000,Payments!$B$5:$B$2000,A5))</f>
        <v>6250</v>
      </c>
      <c r="K5" s="15" t="n">
        <f aca="false">IF(A5="","",H5-J5)</f>
        <v>6250</v>
      </c>
      <c r="L5" s="18" t="n">
        <f aca="false">IF(A5="","",SUMIFS('Time Log'!$D$5:$D$2000,'Time Log'!$B$5:$B$2000,A5))</f>
        <v>2.5</v>
      </c>
      <c r="M5" s="15" t="n">
        <f aca="false">IF(OR(A5="",L5=0),"",H5/L5)</f>
        <v>5000</v>
      </c>
      <c r="N5" s="14" t="n">
        <v>1</v>
      </c>
      <c r="O5" s="14" t="s">
        <v>101</v>
      </c>
      <c r="P5" s="14" t="s">
        <v>102</v>
      </c>
      <c r="Q5" s="14" t="s">
        <v>101</v>
      </c>
      <c r="R5" s="14" t="s">
        <v>103</v>
      </c>
    </row>
    <row r="6" customFormat="false" ht="15" hidden="false" customHeight="false" outlineLevel="0" collapsed="false">
      <c r="A6" s="14"/>
      <c r="B6" s="14"/>
      <c r="C6" s="14"/>
      <c r="D6" s="14"/>
      <c r="E6" s="17"/>
      <c r="F6" s="17"/>
      <c r="G6" s="14"/>
      <c r="H6" s="13"/>
      <c r="I6" s="15" t="str">
        <f aca="false">IF(A6="","",H6*0.5)</f>
        <v/>
      </c>
      <c r="J6" s="15" t="str">
        <f aca="false">IF(A6="","",SUMIFS(Payments!$D$5:$D$2000,Payments!$B$5:$B$2000,A6))</f>
        <v/>
      </c>
      <c r="K6" s="15" t="str">
        <f aca="false">IF(A6="","",H6-J6)</f>
        <v/>
      </c>
      <c r="L6" s="18" t="str">
        <f aca="false">IF(A6="","",SUMIFS('Time Log'!$D$5:$D$2000,'Time Log'!$B$5:$B$2000,A6))</f>
        <v/>
      </c>
      <c r="M6" s="15" t="str">
        <f aca="false">IF(OR(A6="",L6=0),"",H6/L6)</f>
        <v/>
      </c>
      <c r="N6" s="14"/>
      <c r="O6" s="14"/>
      <c r="P6" s="14"/>
      <c r="Q6" s="14"/>
      <c r="R6" s="14"/>
    </row>
    <row r="7" customFormat="false" ht="15" hidden="false" customHeight="false" outlineLevel="0" collapsed="false">
      <c r="A7" s="14"/>
      <c r="B7" s="14"/>
      <c r="C7" s="14"/>
      <c r="D7" s="14"/>
      <c r="E7" s="17"/>
      <c r="F7" s="17"/>
      <c r="G7" s="14"/>
      <c r="H7" s="13"/>
      <c r="I7" s="15" t="str">
        <f aca="false">IF(A7="","",H7*0.5)</f>
        <v/>
      </c>
      <c r="J7" s="15" t="str">
        <f aca="false">IF(A7="","",SUMIFS(Payments!$D$5:$D$2000,Payments!$B$5:$B$2000,A7))</f>
        <v/>
      </c>
      <c r="K7" s="15" t="str">
        <f aca="false">IF(A7="","",H7-J7)</f>
        <v/>
      </c>
      <c r="L7" s="18" t="str">
        <f aca="false">IF(A7="","",SUMIFS('Time Log'!$D$5:$D$2000,'Time Log'!$B$5:$B$2000,A7))</f>
        <v/>
      </c>
      <c r="M7" s="15" t="str">
        <f aca="false">IF(OR(A7="",L7=0),"",H7/L7)</f>
        <v/>
      </c>
      <c r="N7" s="14"/>
      <c r="O7" s="14"/>
      <c r="P7" s="14"/>
      <c r="Q7" s="14"/>
      <c r="R7" s="14"/>
    </row>
    <row r="8" customFormat="false" ht="15" hidden="false" customHeight="false" outlineLevel="0" collapsed="false">
      <c r="A8" s="14"/>
      <c r="B8" s="14"/>
      <c r="C8" s="14"/>
      <c r="D8" s="14"/>
      <c r="E8" s="17"/>
      <c r="F8" s="17"/>
      <c r="G8" s="14"/>
      <c r="H8" s="13"/>
      <c r="I8" s="15" t="str">
        <f aca="false">IF(A8="","",H8*0.5)</f>
        <v/>
      </c>
      <c r="J8" s="15" t="str">
        <f aca="false">IF(A8="","",SUMIFS(Payments!$D$5:$D$2000,Payments!$B$5:$B$2000,A8))</f>
        <v/>
      </c>
      <c r="K8" s="15" t="str">
        <f aca="false">IF(A8="","",H8-J8)</f>
        <v/>
      </c>
      <c r="L8" s="18" t="str">
        <f aca="false">IF(A8="","",SUMIFS('Time Log'!$D$5:$D$2000,'Time Log'!$B$5:$B$2000,A8))</f>
        <v/>
      </c>
      <c r="M8" s="15" t="str">
        <f aca="false">IF(OR(A8="",L8=0),"",H8/L8)</f>
        <v/>
      </c>
      <c r="N8" s="14"/>
      <c r="O8" s="14"/>
      <c r="P8" s="14"/>
      <c r="Q8" s="14"/>
      <c r="R8" s="14"/>
    </row>
    <row r="9" customFormat="false" ht="15" hidden="false" customHeight="false" outlineLevel="0" collapsed="false">
      <c r="A9" s="14"/>
      <c r="B9" s="14"/>
      <c r="C9" s="14"/>
      <c r="D9" s="14"/>
      <c r="E9" s="17"/>
      <c r="F9" s="17"/>
      <c r="G9" s="14"/>
      <c r="H9" s="13"/>
      <c r="I9" s="15" t="str">
        <f aca="false">IF(A9="","",H9*0.5)</f>
        <v/>
      </c>
      <c r="J9" s="15" t="str">
        <f aca="false">IF(A9="","",SUMIFS(Payments!$D$5:$D$2000,Payments!$B$5:$B$2000,A9))</f>
        <v/>
      </c>
      <c r="K9" s="15" t="str">
        <f aca="false">IF(A9="","",H9-J9)</f>
        <v/>
      </c>
      <c r="L9" s="18" t="str">
        <f aca="false">IF(A9="","",SUMIFS('Time Log'!$D$5:$D$2000,'Time Log'!$B$5:$B$2000,A9))</f>
        <v/>
      </c>
      <c r="M9" s="15" t="str">
        <f aca="false">IF(OR(A9="",L9=0),"",H9/L9)</f>
        <v/>
      </c>
      <c r="N9" s="14"/>
      <c r="O9" s="14"/>
      <c r="P9" s="14"/>
      <c r="Q9" s="14"/>
      <c r="R9" s="14"/>
    </row>
    <row r="10" customFormat="false" ht="15" hidden="false" customHeight="false" outlineLevel="0" collapsed="false">
      <c r="A10" s="14"/>
      <c r="B10" s="14"/>
      <c r="C10" s="14"/>
      <c r="D10" s="14"/>
      <c r="E10" s="17"/>
      <c r="F10" s="17"/>
      <c r="G10" s="14"/>
      <c r="H10" s="13"/>
      <c r="I10" s="15" t="str">
        <f aca="false">IF(A10="","",H10*0.5)</f>
        <v/>
      </c>
      <c r="J10" s="15" t="str">
        <f aca="false">IF(A10="","",SUMIFS(Payments!$D$5:$D$2000,Payments!$B$5:$B$2000,A10))</f>
        <v/>
      </c>
      <c r="K10" s="15" t="str">
        <f aca="false">IF(A10="","",H10-J10)</f>
        <v/>
      </c>
      <c r="L10" s="18" t="str">
        <f aca="false">IF(A10="","",SUMIFS('Time Log'!$D$5:$D$2000,'Time Log'!$B$5:$B$2000,A10))</f>
        <v/>
      </c>
      <c r="M10" s="15" t="str">
        <f aca="false">IF(OR(A10="",L10=0),"",H10/L10)</f>
        <v/>
      </c>
      <c r="N10" s="14"/>
      <c r="O10" s="14"/>
      <c r="P10" s="14"/>
      <c r="Q10" s="14"/>
      <c r="R10" s="14"/>
    </row>
    <row r="11" customFormat="false" ht="15" hidden="false" customHeight="false" outlineLevel="0" collapsed="false">
      <c r="A11" s="14"/>
      <c r="B11" s="14"/>
      <c r="C11" s="14"/>
      <c r="D11" s="14"/>
      <c r="E11" s="17"/>
      <c r="F11" s="17"/>
      <c r="G11" s="14"/>
      <c r="H11" s="13"/>
      <c r="I11" s="15" t="str">
        <f aca="false">IF(A11="","",H11*0.5)</f>
        <v/>
      </c>
      <c r="J11" s="15" t="str">
        <f aca="false">IF(A11="","",SUMIFS(Payments!$D$5:$D$2000,Payments!$B$5:$B$2000,A11))</f>
        <v/>
      </c>
      <c r="K11" s="15" t="str">
        <f aca="false">IF(A11="","",H11-J11)</f>
        <v/>
      </c>
      <c r="L11" s="18" t="str">
        <f aca="false">IF(A11="","",SUMIFS('Time Log'!$D$5:$D$2000,'Time Log'!$B$5:$B$2000,A11))</f>
        <v/>
      </c>
      <c r="M11" s="15" t="str">
        <f aca="false">IF(OR(A11="",L11=0),"",H11/L11)</f>
        <v/>
      </c>
      <c r="N11" s="14"/>
      <c r="O11" s="14"/>
      <c r="P11" s="14"/>
      <c r="Q11" s="14"/>
      <c r="R11" s="14"/>
    </row>
    <row r="12" customFormat="false" ht="15" hidden="false" customHeight="false" outlineLevel="0" collapsed="false">
      <c r="A12" s="14"/>
      <c r="B12" s="14"/>
      <c r="C12" s="14"/>
      <c r="D12" s="14"/>
      <c r="E12" s="17"/>
      <c r="F12" s="17"/>
      <c r="G12" s="14"/>
      <c r="H12" s="13"/>
      <c r="I12" s="15" t="str">
        <f aca="false">IF(A12="","",H12*0.5)</f>
        <v/>
      </c>
      <c r="J12" s="15" t="str">
        <f aca="false">IF(A12="","",SUMIFS(Payments!$D$5:$D$2000,Payments!$B$5:$B$2000,A12))</f>
        <v/>
      </c>
      <c r="K12" s="15" t="str">
        <f aca="false">IF(A12="","",H12-J12)</f>
        <v/>
      </c>
      <c r="L12" s="18" t="str">
        <f aca="false">IF(A12="","",SUMIFS('Time Log'!$D$5:$D$2000,'Time Log'!$B$5:$B$2000,A12))</f>
        <v/>
      </c>
      <c r="M12" s="15" t="str">
        <f aca="false">IF(OR(A12="",L12=0),"",H12/L12)</f>
        <v/>
      </c>
      <c r="N12" s="14"/>
      <c r="O12" s="14"/>
      <c r="P12" s="14"/>
      <c r="Q12" s="14"/>
      <c r="R12" s="14"/>
    </row>
    <row r="13" customFormat="false" ht="15" hidden="false" customHeight="false" outlineLevel="0" collapsed="false">
      <c r="A13" s="14"/>
      <c r="B13" s="14"/>
      <c r="C13" s="14"/>
      <c r="D13" s="14"/>
      <c r="E13" s="17"/>
      <c r="F13" s="17"/>
      <c r="G13" s="14"/>
      <c r="H13" s="13"/>
      <c r="I13" s="15" t="str">
        <f aca="false">IF(A13="","",H13*0.5)</f>
        <v/>
      </c>
      <c r="J13" s="15" t="str">
        <f aca="false">IF(A13="","",SUMIFS(Payments!$D$5:$D$2000,Payments!$B$5:$B$2000,A13))</f>
        <v/>
      </c>
      <c r="K13" s="15" t="str">
        <f aca="false">IF(A13="","",H13-J13)</f>
        <v/>
      </c>
      <c r="L13" s="18" t="str">
        <f aca="false">IF(A13="","",SUMIFS('Time Log'!$D$5:$D$2000,'Time Log'!$B$5:$B$2000,A13))</f>
        <v/>
      </c>
      <c r="M13" s="15" t="str">
        <f aca="false">IF(OR(A13="",L13=0),"",H13/L13)</f>
        <v/>
      </c>
      <c r="N13" s="14"/>
      <c r="O13" s="14"/>
      <c r="P13" s="14"/>
      <c r="Q13" s="14"/>
      <c r="R13" s="14"/>
    </row>
    <row r="14" customFormat="false" ht="15" hidden="false" customHeight="false" outlineLevel="0" collapsed="false">
      <c r="A14" s="14"/>
      <c r="B14" s="14"/>
      <c r="C14" s="14"/>
      <c r="D14" s="14"/>
      <c r="E14" s="17"/>
      <c r="F14" s="17"/>
      <c r="G14" s="14"/>
      <c r="H14" s="13"/>
      <c r="I14" s="15" t="str">
        <f aca="false">IF(A14="","",H14*0.5)</f>
        <v/>
      </c>
      <c r="J14" s="15" t="str">
        <f aca="false">IF(A14="","",SUMIFS(Payments!$D$5:$D$2000,Payments!$B$5:$B$2000,A14))</f>
        <v/>
      </c>
      <c r="K14" s="15" t="str">
        <f aca="false">IF(A14="","",H14-J14)</f>
        <v/>
      </c>
      <c r="L14" s="18" t="str">
        <f aca="false">IF(A14="","",SUMIFS('Time Log'!$D$5:$D$2000,'Time Log'!$B$5:$B$2000,A14))</f>
        <v/>
      </c>
      <c r="M14" s="15" t="str">
        <f aca="false">IF(OR(A14="",L14=0),"",H14/L14)</f>
        <v/>
      </c>
      <c r="N14" s="14"/>
      <c r="O14" s="14"/>
      <c r="P14" s="14"/>
      <c r="Q14" s="14"/>
      <c r="R14" s="14"/>
    </row>
    <row r="15" customFormat="false" ht="15" hidden="false" customHeight="false" outlineLevel="0" collapsed="false">
      <c r="A15" s="14"/>
      <c r="B15" s="14"/>
      <c r="C15" s="14"/>
      <c r="D15" s="14"/>
      <c r="E15" s="17"/>
      <c r="F15" s="17"/>
      <c r="G15" s="14"/>
      <c r="H15" s="13"/>
      <c r="I15" s="15" t="str">
        <f aca="false">IF(A15="","",H15*0.5)</f>
        <v/>
      </c>
      <c r="J15" s="15" t="str">
        <f aca="false">IF(A15="","",SUMIFS(Payments!$D$5:$D$2000,Payments!$B$5:$B$2000,A15))</f>
        <v/>
      </c>
      <c r="K15" s="15" t="str">
        <f aca="false">IF(A15="","",H15-J15)</f>
        <v/>
      </c>
      <c r="L15" s="18" t="str">
        <f aca="false">IF(A15="","",SUMIFS('Time Log'!$D$5:$D$2000,'Time Log'!$B$5:$B$2000,A15))</f>
        <v/>
      </c>
      <c r="M15" s="15" t="str">
        <f aca="false">IF(OR(A15="",L15=0),"",H15/L15)</f>
        <v/>
      </c>
      <c r="N15" s="14"/>
      <c r="O15" s="14"/>
      <c r="P15" s="14"/>
      <c r="Q15" s="14"/>
      <c r="R15" s="14"/>
    </row>
    <row r="16" customFormat="false" ht="15" hidden="false" customHeight="false" outlineLevel="0" collapsed="false">
      <c r="A16" s="14"/>
      <c r="B16" s="14"/>
      <c r="C16" s="14"/>
      <c r="D16" s="14"/>
      <c r="E16" s="17"/>
      <c r="F16" s="17"/>
      <c r="G16" s="14"/>
      <c r="H16" s="13"/>
      <c r="I16" s="15" t="str">
        <f aca="false">IF(A16="","",H16*0.5)</f>
        <v/>
      </c>
      <c r="J16" s="15" t="str">
        <f aca="false">IF(A16="","",SUMIFS(Payments!$D$5:$D$2000,Payments!$B$5:$B$2000,A16))</f>
        <v/>
      </c>
      <c r="K16" s="15" t="str">
        <f aca="false">IF(A16="","",H16-J16)</f>
        <v/>
      </c>
      <c r="L16" s="18" t="str">
        <f aca="false">IF(A16="","",SUMIFS('Time Log'!$D$5:$D$2000,'Time Log'!$B$5:$B$2000,A16))</f>
        <v/>
      </c>
      <c r="M16" s="15" t="str">
        <f aca="false">IF(OR(A16="",L16=0),"",H16/L16)</f>
        <v/>
      </c>
      <c r="N16" s="14"/>
      <c r="O16" s="14"/>
      <c r="P16" s="14"/>
      <c r="Q16" s="14"/>
      <c r="R16" s="14"/>
    </row>
    <row r="17" customFormat="false" ht="15" hidden="false" customHeight="false" outlineLevel="0" collapsed="false">
      <c r="A17" s="14"/>
      <c r="B17" s="14"/>
      <c r="C17" s="14"/>
      <c r="D17" s="14"/>
      <c r="E17" s="17"/>
      <c r="F17" s="17"/>
      <c r="G17" s="14"/>
      <c r="H17" s="13"/>
      <c r="I17" s="15" t="str">
        <f aca="false">IF(A17="","",H17*0.5)</f>
        <v/>
      </c>
      <c r="J17" s="15" t="str">
        <f aca="false">IF(A17="","",SUMIFS(Payments!$D$5:$D$2000,Payments!$B$5:$B$2000,A17))</f>
        <v/>
      </c>
      <c r="K17" s="15" t="str">
        <f aca="false">IF(A17="","",H17-J17)</f>
        <v/>
      </c>
      <c r="L17" s="18" t="str">
        <f aca="false">IF(A17="","",SUMIFS('Time Log'!$D$5:$D$2000,'Time Log'!$B$5:$B$2000,A17))</f>
        <v/>
      </c>
      <c r="M17" s="15" t="str">
        <f aca="false">IF(OR(A17="",L17=0),"",H17/L17)</f>
        <v/>
      </c>
      <c r="N17" s="14"/>
      <c r="O17" s="14"/>
      <c r="P17" s="14"/>
      <c r="Q17" s="14"/>
      <c r="R17" s="14"/>
    </row>
    <row r="18" customFormat="false" ht="15" hidden="false" customHeight="false" outlineLevel="0" collapsed="false">
      <c r="A18" s="14"/>
      <c r="B18" s="14"/>
      <c r="C18" s="14"/>
      <c r="D18" s="14"/>
      <c r="E18" s="17"/>
      <c r="F18" s="17"/>
      <c r="G18" s="14"/>
      <c r="H18" s="13"/>
      <c r="I18" s="15" t="str">
        <f aca="false">IF(A18="","",H18*0.5)</f>
        <v/>
      </c>
      <c r="J18" s="15" t="str">
        <f aca="false">IF(A18="","",SUMIFS(Payments!$D$5:$D$2000,Payments!$B$5:$B$2000,A18))</f>
        <v/>
      </c>
      <c r="K18" s="15" t="str">
        <f aca="false">IF(A18="","",H18-J18)</f>
        <v/>
      </c>
      <c r="L18" s="18" t="str">
        <f aca="false">IF(A18="","",SUMIFS('Time Log'!$D$5:$D$2000,'Time Log'!$B$5:$B$2000,A18))</f>
        <v/>
      </c>
      <c r="M18" s="15" t="str">
        <f aca="false">IF(OR(A18="",L18=0),"",H18/L18)</f>
        <v/>
      </c>
      <c r="N18" s="14"/>
      <c r="O18" s="14"/>
      <c r="P18" s="14"/>
      <c r="Q18" s="14"/>
      <c r="R18" s="14"/>
    </row>
    <row r="19" customFormat="false" ht="15" hidden="false" customHeight="false" outlineLevel="0" collapsed="false">
      <c r="A19" s="14"/>
      <c r="B19" s="14"/>
      <c r="C19" s="14"/>
      <c r="D19" s="14"/>
      <c r="E19" s="17"/>
      <c r="F19" s="17"/>
      <c r="G19" s="14"/>
      <c r="H19" s="13"/>
      <c r="I19" s="15" t="str">
        <f aca="false">IF(A19="","",H19*0.5)</f>
        <v/>
      </c>
      <c r="J19" s="15" t="str">
        <f aca="false">IF(A19="","",SUMIFS(Payments!$D$5:$D$2000,Payments!$B$5:$B$2000,A19))</f>
        <v/>
      </c>
      <c r="K19" s="15" t="str">
        <f aca="false">IF(A19="","",H19-J19)</f>
        <v/>
      </c>
      <c r="L19" s="18" t="str">
        <f aca="false">IF(A19="","",SUMIFS('Time Log'!$D$5:$D$2000,'Time Log'!$B$5:$B$2000,A19))</f>
        <v/>
      </c>
      <c r="M19" s="15" t="str">
        <f aca="false">IF(OR(A19="",L19=0),"",H19/L19)</f>
        <v/>
      </c>
      <c r="N19" s="14"/>
      <c r="O19" s="14"/>
      <c r="P19" s="14"/>
      <c r="Q19" s="14"/>
      <c r="R19" s="14"/>
    </row>
    <row r="20" customFormat="false" ht="15" hidden="false" customHeight="false" outlineLevel="0" collapsed="false">
      <c r="A20" s="14"/>
      <c r="B20" s="14"/>
      <c r="C20" s="14"/>
      <c r="D20" s="14"/>
      <c r="E20" s="17"/>
      <c r="F20" s="17"/>
      <c r="G20" s="14"/>
      <c r="H20" s="13"/>
      <c r="I20" s="15" t="str">
        <f aca="false">IF(A20="","",H20*0.5)</f>
        <v/>
      </c>
      <c r="J20" s="15" t="str">
        <f aca="false">IF(A20="","",SUMIFS(Payments!$D$5:$D$2000,Payments!$B$5:$B$2000,A20))</f>
        <v/>
      </c>
      <c r="K20" s="15" t="str">
        <f aca="false">IF(A20="","",H20-J20)</f>
        <v/>
      </c>
      <c r="L20" s="18" t="str">
        <f aca="false">IF(A20="","",SUMIFS('Time Log'!$D$5:$D$2000,'Time Log'!$B$5:$B$2000,A20))</f>
        <v/>
      </c>
      <c r="M20" s="15" t="str">
        <f aca="false">IF(OR(A20="",L20=0),"",H20/L20)</f>
        <v/>
      </c>
      <c r="N20" s="14"/>
      <c r="O20" s="14"/>
      <c r="P20" s="14"/>
      <c r="Q20" s="14"/>
      <c r="R20" s="14"/>
    </row>
    <row r="21" customFormat="false" ht="15" hidden="false" customHeight="false" outlineLevel="0" collapsed="false">
      <c r="A21" s="14"/>
      <c r="B21" s="14"/>
      <c r="C21" s="14"/>
      <c r="D21" s="14"/>
      <c r="E21" s="17"/>
      <c r="F21" s="17"/>
      <c r="G21" s="14"/>
      <c r="H21" s="13"/>
      <c r="I21" s="15" t="str">
        <f aca="false">IF(A21="","",H21*0.5)</f>
        <v/>
      </c>
      <c r="J21" s="15" t="str">
        <f aca="false">IF(A21="","",SUMIFS(Payments!$D$5:$D$2000,Payments!$B$5:$B$2000,A21))</f>
        <v/>
      </c>
      <c r="K21" s="15" t="str">
        <f aca="false">IF(A21="","",H21-J21)</f>
        <v/>
      </c>
      <c r="L21" s="18" t="str">
        <f aca="false">IF(A21="","",SUMIFS('Time Log'!$D$5:$D$2000,'Time Log'!$B$5:$B$2000,A21))</f>
        <v/>
      </c>
      <c r="M21" s="15" t="str">
        <f aca="false">IF(OR(A21="",L21=0),"",H21/L21)</f>
        <v/>
      </c>
      <c r="N21" s="14"/>
      <c r="O21" s="14"/>
      <c r="P21" s="14"/>
      <c r="Q21" s="14"/>
      <c r="R21" s="14"/>
    </row>
    <row r="22" customFormat="false" ht="15" hidden="false" customHeight="false" outlineLevel="0" collapsed="false">
      <c r="A22" s="14"/>
      <c r="B22" s="14"/>
      <c r="C22" s="14"/>
      <c r="D22" s="14"/>
      <c r="E22" s="17"/>
      <c r="F22" s="17"/>
      <c r="G22" s="14"/>
      <c r="H22" s="13"/>
      <c r="I22" s="15" t="str">
        <f aca="false">IF(A22="","",H22*0.5)</f>
        <v/>
      </c>
      <c r="J22" s="15" t="str">
        <f aca="false">IF(A22="","",SUMIFS(Payments!$D$5:$D$2000,Payments!$B$5:$B$2000,A22))</f>
        <v/>
      </c>
      <c r="K22" s="15" t="str">
        <f aca="false">IF(A22="","",H22-J22)</f>
        <v/>
      </c>
      <c r="L22" s="18" t="str">
        <f aca="false">IF(A22="","",SUMIFS('Time Log'!$D$5:$D$2000,'Time Log'!$B$5:$B$2000,A22))</f>
        <v/>
      </c>
      <c r="M22" s="15" t="str">
        <f aca="false">IF(OR(A22="",L22=0),"",H22/L22)</f>
        <v/>
      </c>
      <c r="N22" s="14"/>
      <c r="O22" s="14"/>
      <c r="P22" s="14"/>
      <c r="Q22" s="14"/>
      <c r="R22" s="14"/>
    </row>
    <row r="23" customFormat="false" ht="15" hidden="false" customHeight="false" outlineLevel="0" collapsed="false">
      <c r="A23" s="14"/>
      <c r="B23" s="14"/>
      <c r="C23" s="14"/>
      <c r="D23" s="14"/>
      <c r="E23" s="17"/>
      <c r="F23" s="17"/>
      <c r="G23" s="14"/>
      <c r="H23" s="13"/>
      <c r="I23" s="15" t="str">
        <f aca="false">IF(A23="","",H23*0.5)</f>
        <v/>
      </c>
      <c r="J23" s="15" t="str">
        <f aca="false">IF(A23="","",SUMIFS(Payments!$D$5:$D$2000,Payments!$B$5:$B$2000,A23))</f>
        <v/>
      </c>
      <c r="K23" s="15" t="str">
        <f aca="false">IF(A23="","",H23-J23)</f>
        <v/>
      </c>
      <c r="L23" s="18" t="str">
        <f aca="false">IF(A23="","",SUMIFS('Time Log'!$D$5:$D$2000,'Time Log'!$B$5:$B$2000,A23))</f>
        <v/>
      </c>
      <c r="M23" s="15" t="str">
        <f aca="false">IF(OR(A23="",L23=0),"",H23/L23)</f>
        <v/>
      </c>
      <c r="N23" s="14"/>
      <c r="O23" s="14"/>
      <c r="P23" s="14"/>
      <c r="Q23" s="14"/>
      <c r="R23" s="14"/>
    </row>
    <row r="24" customFormat="false" ht="15" hidden="false" customHeight="false" outlineLevel="0" collapsed="false">
      <c r="A24" s="14"/>
      <c r="B24" s="14"/>
      <c r="C24" s="14"/>
      <c r="D24" s="14"/>
      <c r="E24" s="17"/>
      <c r="F24" s="17"/>
      <c r="G24" s="14"/>
      <c r="H24" s="13"/>
      <c r="I24" s="15" t="str">
        <f aca="false">IF(A24="","",H24*0.5)</f>
        <v/>
      </c>
      <c r="J24" s="15" t="str">
        <f aca="false">IF(A24="","",SUMIFS(Payments!$D$5:$D$2000,Payments!$B$5:$B$2000,A24))</f>
        <v/>
      </c>
      <c r="K24" s="15" t="str">
        <f aca="false">IF(A24="","",H24-J24)</f>
        <v/>
      </c>
      <c r="L24" s="18" t="str">
        <f aca="false">IF(A24="","",SUMIFS('Time Log'!$D$5:$D$2000,'Time Log'!$B$5:$B$2000,A24))</f>
        <v/>
      </c>
      <c r="M24" s="15" t="str">
        <f aca="false">IF(OR(A24="",L24=0),"",H24/L24)</f>
        <v/>
      </c>
      <c r="N24" s="14"/>
      <c r="O24" s="14"/>
      <c r="P24" s="14"/>
      <c r="Q24" s="14"/>
      <c r="R24" s="14"/>
    </row>
    <row r="25" customFormat="false" ht="15" hidden="false" customHeight="false" outlineLevel="0" collapsed="false">
      <c r="A25" s="14"/>
      <c r="B25" s="14"/>
      <c r="C25" s="14"/>
      <c r="D25" s="14"/>
      <c r="E25" s="17"/>
      <c r="F25" s="17"/>
      <c r="G25" s="14"/>
      <c r="H25" s="13"/>
      <c r="I25" s="15" t="str">
        <f aca="false">IF(A25="","",H25*0.5)</f>
        <v/>
      </c>
      <c r="J25" s="15" t="str">
        <f aca="false">IF(A25="","",SUMIFS(Payments!$D$5:$D$2000,Payments!$B$5:$B$2000,A25))</f>
        <v/>
      </c>
      <c r="K25" s="15" t="str">
        <f aca="false">IF(A25="","",H25-J25)</f>
        <v/>
      </c>
      <c r="L25" s="18" t="str">
        <f aca="false">IF(A25="","",SUMIFS('Time Log'!$D$5:$D$2000,'Time Log'!$B$5:$B$2000,A25))</f>
        <v/>
      </c>
      <c r="M25" s="15" t="str">
        <f aca="false">IF(OR(A25="",L25=0),"",H25/L25)</f>
        <v/>
      </c>
      <c r="N25" s="14"/>
      <c r="O25" s="14"/>
      <c r="P25" s="14"/>
      <c r="Q25" s="14"/>
      <c r="R25" s="14"/>
    </row>
    <row r="26" customFormat="false" ht="15" hidden="false" customHeight="false" outlineLevel="0" collapsed="false">
      <c r="A26" s="14"/>
      <c r="B26" s="14"/>
      <c r="C26" s="14"/>
      <c r="D26" s="14"/>
      <c r="E26" s="17"/>
      <c r="F26" s="17"/>
      <c r="G26" s="14"/>
      <c r="H26" s="13"/>
      <c r="I26" s="15" t="str">
        <f aca="false">IF(A26="","",H26*0.5)</f>
        <v/>
      </c>
      <c r="J26" s="15" t="str">
        <f aca="false">IF(A26="","",SUMIFS(Payments!$D$5:$D$2000,Payments!$B$5:$B$2000,A26))</f>
        <v/>
      </c>
      <c r="K26" s="15" t="str">
        <f aca="false">IF(A26="","",H26-J26)</f>
        <v/>
      </c>
      <c r="L26" s="18" t="str">
        <f aca="false">IF(A26="","",SUMIFS('Time Log'!$D$5:$D$2000,'Time Log'!$B$5:$B$2000,A26))</f>
        <v/>
      </c>
      <c r="M26" s="15" t="str">
        <f aca="false">IF(OR(A26="",L26=0),"",H26/L26)</f>
        <v/>
      </c>
      <c r="N26" s="14"/>
      <c r="O26" s="14"/>
      <c r="P26" s="14"/>
      <c r="Q26" s="14"/>
      <c r="R26" s="14"/>
    </row>
    <row r="27" customFormat="false" ht="15" hidden="false" customHeight="false" outlineLevel="0" collapsed="false">
      <c r="A27" s="14"/>
      <c r="B27" s="14"/>
      <c r="C27" s="14"/>
      <c r="D27" s="14"/>
      <c r="E27" s="17"/>
      <c r="F27" s="17"/>
      <c r="G27" s="14"/>
      <c r="H27" s="13"/>
      <c r="I27" s="15" t="str">
        <f aca="false">IF(A27="","",H27*0.5)</f>
        <v/>
      </c>
      <c r="J27" s="15" t="str">
        <f aca="false">IF(A27="","",SUMIFS(Payments!$D$5:$D$2000,Payments!$B$5:$B$2000,A27))</f>
        <v/>
      </c>
      <c r="K27" s="15" t="str">
        <f aca="false">IF(A27="","",H27-J27)</f>
        <v/>
      </c>
      <c r="L27" s="18" t="str">
        <f aca="false">IF(A27="","",SUMIFS('Time Log'!$D$5:$D$2000,'Time Log'!$B$5:$B$2000,A27))</f>
        <v/>
      </c>
      <c r="M27" s="15" t="str">
        <f aca="false">IF(OR(A27="",L27=0),"",H27/L27)</f>
        <v/>
      </c>
      <c r="N27" s="14"/>
      <c r="O27" s="14"/>
      <c r="P27" s="14"/>
      <c r="Q27" s="14"/>
      <c r="R27" s="14"/>
    </row>
    <row r="28" customFormat="false" ht="15" hidden="false" customHeight="false" outlineLevel="0" collapsed="false">
      <c r="A28" s="14"/>
      <c r="B28" s="14"/>
      <c r="C28" s="14"/>
      <c r="D28" s="14"/>
      <c r="E28" s="17"/>
      <c r="F28" s="17"/>
      <c r="G28" s="14"/>
      <c r="H28" s="13"/>
      <c r="I28" s="15" t="str">
        <f aca="false">IF(A28="","",H28*0.5)</f>
        <v/>
      </c>
      <c r="J28" s="15" t="str">
        <f aca="false">IF(A28="","",SUMIFS(Payments!$D$5:$D$2000,Payments!$B$5:$B$2000,A28))</f>
        <v/>
      </c>
      <c r="K28" s="15" t="str">
        <f aca="false">IF(A28="","",H28-J28)</f>
        <v/>
      </c>
      <c r="L28" s="18" t="str">
        <f aca="false">IF(A28="","",SUMIFS('Time Log'!$D$5:$D$2000,'Time Log'!$B$5:$B$2000,A28))</f>
        <v/>
      </c>
      <c r="M28" s="15" t="str">
        <f aca="false">IF(OR(A28="",L28=0),"",H28/L28)</f>
        <v/>
      </c>
      <c r="N28" s="14"/>
      <c r="O28" s="14"/>
      <c r="P28" s="14"/>
      <c r="Q28" s="14"/>
      <c r="R28" s="14"/>
    </row>
    <row r="29" customFormat="false" ht="15" hidden="false" customHeight="false" outlineLevel="0" collapsed="false">
      <c r="A29" s="14"/>
      <c r="B29" s="14"/>
      <c r="C29" s="14"/>
      <c r="D29" s="14"/>
      <c r="E29" s="17"/>
      <c r="F29" s="17"/>
      <c r="G29" s="14"/>
      <c r="H29" s="13"/>
      <c r="I29" s="15" t="str">
        <f aca="false">IF(A29="","",H29*0.5)</f>
        <v/>
      </c>
      <c r="J29" s="15" t="str">
        <f aca="false">IF(A29="","",SUMIFS(Payments!$D$5:$D$2000,Payments!$B$5:$B$2000,A29))</f>
        <v/>
      </c>
      <c r="K29" s="15" t="str">
        <f aca="false">IF(A29="","",H29-J29)</f>
        <v/>
      </c>
      <c r="L29" s="18" t="str">
        <f aca="false">IF(A29="","",SUMIFS('Time Log'!$D$5:$D$2000,'Time Log'!$B$5:$B$2000,A29))</f>
        <v/>
      </c>
      <c r="M29" s="15" t="str">
        <f aca="false">IF(OR(A29="",L29=0),"",H29/L29)</f>
        <v/>
      </c>
      <c r="N29" s="14"/>
      <c r="O29" s="14"/>
      <c r="P29" s="14"/>
      <c r="Q29" s="14"/>
      <c r="R29" s="14"/>
    </row>
    <row r="30" customFormat="false" ht="15" hidden="false" customHeight="false" outlineLevel="0" collapsed="false">
      <c r="A30" s="14"/>
      <c r="B30" s="14"/>
      <c r="C30" s="14"/>
      <c r="D30" s="14"/>
      <c r="E30" s="17"/>
      <c r="F30" s="17"/>
      <c r="G30" s="14"/>
      <c r="H30" s="13"/>
      <c r="I30" s="15" t="str">
        <f aca="false">IF(A30="","",H30*0.5)</f>
        <v/>
      </c>
      <c r="J30" s="15" t="str">
        <f aca="false">IF(A30="","",SUMIFS(Payments!$D$5:$D$2000,Payments!$B$5:$B$2000,A30))</f>
        <v/>
      </c>
      <c r="K30" s="15" t="str">
        <f aca="false">IF(A30="","",H30-J30)</f>
        <v/>
      </c>
      <c r="L30" s="18" t="str">
        <f aca="false">IF(A30="","",SUMIFS('Time Log'!$D$5:$D$2000,'Time Log'!$B$5:$B$2000,A30))</f>
        <v/>
      </c>
      <c r="M30" s="15" t="str">
        <f aca="false">IF(OR(A30="",L30=0),"",H30/L30)</f>
        <v/>
      </c>
      <c r="N30" s="14"/>
      <c r="O30" s="14"/>
      <c r="P30" s="14"/>
      <c r="Q30" s="14"/>
      <c r="R30" s="14"/>
    </row>
    <row r="31" customFormat="false" ht="15" hidden="false" customHeight="false" outlineLevel="0" collapsed="false">
      <c r="A31" s="14"/>
      <c r="B31" s="14"/>
      <c r="C31" s="14"/>
      <c r="D31" s="14"/>
      <c r="E31" s="17"/>
      <c r="F31" s="17"/>
      <c r="G31" s="14"/>
      <c r="H31" s="13"/>
      <c r="I31" s="15" t="str">
        <f aca="false">IF(A31="","",H31*0.5)</f>
        <v/>
      </c>
      <c r="J31" s="15" t="str">
        <f aca="false">IF(A31="","",SUMIFS(Payments!$D$5:$D$2000,Payments!$B$5:$B$2000,A31))</f>
        <v/>
      </c>
      <c r="K31" s="15" t="str">
        <f aca="false">IF(A31="","",H31-J31)</f>
        <v/>
      </c>
      <c r="L31" s="18" t="str">
        <f aca="false">IF(A31="","",SUMIFS('Time Log'!$D$5:$D$2000,'Time Log'!$B$5:$B$2000,A31))</f>
        <v/>
      </c>
      <c r="M31" s="15" t="str">
        <f aca="false">IF(OR(A31="",L31=0),"",H31/L31)</f>
        <v/>
      </c>
      <c r="N31" s="14"/>
      <c r="O31" s="14"/>
      <c r="P31" s="14"/>
      <c r="Q31" s="14"/>
      <c r="R31" s="14"/>
    </row>
    <row r="32" customFormat="false" ht="15" hidden="false" customHeight="false" outlineLevel="0" collapsed="false">
      <c r="A32" s="14"/>
      <c r="B32" s="14"/>
      <c r="C32" s="14"/>
      <c r="D32" s="14"/>
      <c r="E32" s="17"/>
      <c r="F32" s="17"/>
      <c r="G32" s="14"/>
      <c r="H32" s="13"/>
      <c r="I32" s="15" t="str">
        <f aca="false">IF(A32="","",H32*0.5)</f>
        <v/>
      </c>
      <c r="J32" s="15" t="str">
        <f aca="false">IF(A32="","",SUMIFS(Payments!$D$5:$D$2000,Payments!$B$5:$B$2000,A32))</f>
        <v/>
      </c>
      <c r="K32" s="15" t="str">
        <f aca="false">IF(A32="","",H32-J32)</f>
        <v/>
      </c>
      <c r="L32" s="18" t="str">
        <f aca="false">IF(A32="","",SUMIFS('Time Log'!$D$5:$D$2000,'Time Log'!$B$5:$B$2000,A32))</f>
        <v/>
      </c>
      <c r="M32" s="15" t="str">
        <f aca="false">IF(OR(A32="",L32=0),"",H32/L32)</f>
        <v/>
      </c>
      <c r="N32" s="14"/>
      <c r="O32" s="14"/>
      <c r="P32" s="14"/>
      <c r="Q32" s="14"/>
      <c r="R32" s="14"/>
    </row>
    <row r="33" customFormat="false" ht="15" hidden="false" customHeight="false" outlineLevel="0" collapsed="false">
      <c r="A33" s="14"/>
      <c r="B33" s="14"/>
      <c r="C33" s="14"/>
      <c r="D33" s="14"/>
      <c r="E33" s="17"/>
      <c r="F33" s="17"/>
      <c r="G33" s="14"/>
      <c r="H33" s="13"/>
      <c r="I33" s="15" t="str">
        <f aca="false">IF(A33="","",H33*0.5)</f>
        <v/>
      </c>
      <c r="J33" s="15" t="str">
        <f aca="false">IF(A33="","",SUMIFS(Payments!$D$5:$D$2000,Payments!$B$5:$B$2000,A33))</f>
        <v/>
      </c>
      <c r="K33" s="15" t="str">
        <f aca="false">IF(A33="","",H33-J33)</f>
        <v/>
      </c>
      <c r="L33" s="18" t="str">
        <f aca="false">IF(A33="","",SUMIFS('Time Log'!$D$5:$D$2000,'Time Log'!$B$5:$B$2000,A33))</f>
        <v/>
      </c>
      <c r="M33" s="15" t="str">
        <f aca="false">IF(OR(A33="",L33=0),"",H33/L33)</f>
        <v/>
      </c>
      <c r="N33" s="14"/>
      <c r="O33" s="14"/>
      <c r="P33" s="14"/>
      <c r="Q33" s="14"/>
      <c r="R33" s="14"/>
    </row>
    <row r="34" customFormat="false" ht="15" hidden="false" customHeight="false" outlineLevel="0" collapsed="false">
      <c r="A34" s="14"/>
      <c r="B34" s="14"/>
      <c r="C34" s="14"/>
      <c r="D34" s="14"/>
      <c r="E34" s="17"/>
      <c r="F34" s="17"/>
      <c r="G34" s="14"/>
      <c r="H34" s="13"/>
      <c r="I34" s="15" t="str">
        <f aca="false">IF(A34="","",H34*0.5)</f>
        <v/>
      </c>
      <c r="J34" s="15" t="str">
        <f aca="false">IF(A34="","",SUMIFS(Payments!$D$5:$D$2000,Payments!$B$5:$B$2000,A34))</f>
        <v/>
      </c>
      <c r="K34" s="15" t="str">
        <f aca="false">IF(A34="","",H34-J34)</f>
        <v/>
      </c>
      <c r="L34" s="18" t="str">
        <f aca="false">IF(A34="","",SUMIFS('Time Log'!$D$5:$D$2000,'Time Log'!$B$5:$B$2000,A34))</f>
        <v/>
      </c>
      <c r="M34" s="15" t="str">
        <f aca="false">IF(OR(A34="",L34=0),"",H34/L34)</f>
        <v/>
      </c>
      <c r="N34" s="14"/>
      <c r="O34" s="14"/>
      <c r="P34" s="14"/>
      <c r="Q34" s="14"/>
      <c r="R34" s="14"/>
    </row>
    <row r="35" customFormat="false" ht="15" hidden="false" customHeight="false" outlineLevel="0" collapsed="false">
      <c r="A35" s="14"/>
      <c r="B35" s="14"/>
      <c r="C35" s="14"/>
      <c r="D35" s="14"/>
      <c r="E35" s="17"/>
      <c r="F35" s="17"/>
      <c r="G35" s="14"/>
      <c r="H35" s="13"/>
      <c r="I35" s="15" t="str">
        <f aca="false">IF(A35="","",H35*0.5)</f>
        <v/>
      </c>
      <c r="J35" s="15" t="str">
        <f aca="false">IF(A35="","",SUMIFS(Payments!$D$5:$D$2000,Payments!$B$5:$B$2000,A35))</f>
        <v/>
      </c>
      <c r="K35" s="15" t="str">
        <f aca="false">IF(A35="","",H35-J35)</f>
        <v/>
      </c>
      <c r="L35" s="18" t="str">
        <f aca="false">IF(A35="","",SUMIFS('Time Log'!$D$5:$D$2000,'Time Log'!$B$5:$B$2000,A35))</f>
        <v/>
      </c>
      <c r="M35" s="15" t="str">
        <f aca="false">IF(OR(A35="",L35=0),"",H35/L35)</f>
        <v/>
      </c>
      <c r="N35" s="14"/>
      <c r="O35" s="14"/>
      <c r="P35" s="14"/>
      <c r="Q35" s="14"/>
      <c r="R35" s="14"/>
    </row>
    <row r="36" customFormat="false" ht="15" hidden="false" customHeight="false" outlineLevel="0" collapsed="false">
      <c r="A36" s="14"/>
      <c r="B36" s="14"/>
      <c r="C36" s="14"/>
      <c r="D36" s="14"/>
      <c r="E36" s="17"/>
      <c r="F36" s="17"/>
      <c r="G36" s="14"/>
      <c r="H36" s="13"/>
      <c r="I36" s="15" t="str">
        <f aca="false">IF(A36="","",H36*0.5)</f>
        <v/>
      </c>
      <c r="J36" s="15" t="str">
        <f aca="false">IF(A36="","",SUMIFS(Payments!$D$5:$D$2000,Payments!$B$5:$B$2000,A36))</f>
        <v/>
      </c>
      <c r="K36" s="15" t="str">
        <f aca="false">IF(A36="","",H36-J36)</f>
        <v/>
      </c>
      <c r="L36" s="18" t="str">
        <f aca="false">IF(A36="","",SUMIFS('Time Log'!$D$5:$D$2000,'Time Log'!$B$5:$B$2000,A36))</f>
        <v/>
      </c>
      <c r="M36" s="15" t="str">
        <f aca="false">IF(OR(A36="",L36=0),"",H36/L36)</f>
        <v/>
      </c>
      <c r="N36" s="14"/>
      <c r="O36" s="14"/>
      <c r="P36" s="14"/>
      <c r="Q36" s="14"/>
      <c r="R36" s="14"/>
    </row>
    <row r="37" customFormat="false" ht="15" hidden="false" customHeight="false" outlineLevel="0" collapsed="false">
      <c r="A37" s="14"/>
      <c r="B37" s="14"/>
      <c r="C37" s="14"/>
      <c r="D37" s="14"/>
      <c r="E37" s="17"/>
      <c r="F37" s="17"/>
      <c r="G37" s="14"/>
      <c r="H37" s="13"/>
      <c r="I37" s="15" t="str">
        <f aca="false">IF(A37="","",H37*0.5)</f>
        <v/>
      </c>
      <c r="J37" s="15" t="str">
        <f aca="false">IF(A37="","",SUMIFS(Payments!$D$5:$D$2000,Payments!$B$5:$B$2000,A37))</f>
        <v/>
      </c>
      <c r="K37" s="15" t="str">
        <f aca="false">IF(A37="","",H37-J37)</f>
        <v/>
      </c>
      <c r="L37" s="18" t="str">
        <f aca="false">IF(A37="","",SUMIFS('Time Log'!$D$5:$D$2000,'Time Log'!$B$5:$B$2000,A37))</f>
        <v/>
      </c>
      <c r="M37" s="15" t="str">
        <f aca="false">IF(OR(A37="",L37=0),"",H37/L37)</f>
        <v/>
      </c>
      <c r="N37" s="14"/>
      <c r="O37" s="14"/>
      <c r="P37" s="14"/>
      <c r="Q37" s="14"/>
      <c r="R37" s="14"/>
    </row>
    <row r="38" customFormat="false" ht="15" hidden="false" customHeight="false" outlineLevel="0" collapsed="false">
      <c r="A38" s="14"/>
      <c r="B38" s="14"/>
      <c r="C38" s="14"/>
      <c r="D38" s="14"/>
      <c r="E38" s="17"/>
      <c r="F38" s="17"/>
      <c r="G38" s="14"/>
      <c r="H38" s="13"/>
      <c r="I38" s="15" t="str">
        <f aca="false">IF(A38="","",H38*0.5)</f>
        <v/>
      </c>
      <c r="J38" s="15" t="str">
        <f aca="false">IF(A38="","",SUMIFS(Payments!$D$5:$D$2000,Payments!$B$5:$B$2000,A38))</f>
        <v/>
      </c>
      <c r="K38" s="15" t="str">
        <f aca="false">IF(A38="","",H38-J38)</f>
        <v/>
      </c>
      <c r="L38" s="18" t="str">
        <f aca="false">IF(A38="","",SUMIFS('Time Log'!$D$5:$D$2000,'Time Log'!$B$5:$B$2000,A38))</f>
        <v/>
      </c>
      <c r="M38" s="15" t="str">
        <f aca="false">IF(OR(A38="",L38=0),"",H38/L38)</f>
        <v/>
      </c>
      <c r="N38" s="14"/>
      <c r="O38" s="14"/>
      <c r="P38" s="14"/>
      <c r="Q38" s="14"/>
      <c r="R38" s="14"/>
    </row>
    <row r="39" customFormat="false" ht="15" hidden="false" customHeight="false" outlineLevel="0" collapsed="false">
      <c r="A39" s="14"/>
      <c r="B39" s="14"/>
      <c r="C39" s="14"/>
      <c r="D39" s="14"/>
      <c r="E39" s="17"/>
      <c r="F39" s="17"/>
      <c r="G39" s="14"/>
      <c r="H39" s="13"/>
      <c r="I39" s="15" t="str">
        <f aca="false">IF(A39="","",H39*0.5)</f>
        <v/>
      </c>
      <c r="J39" s="15" t="str">
        <f aca="false">IF(A39="","",SUMIFS(Payments!$D$5:$D$2000,Payments!$B$5:$B$2000,A39))</f>
        <v/>
      </c>
      <c r="K39" s="15" t="str">
        <f aca="false">IF(A39="","",H39-J39)</f>
        <v/>
      </c>
      <c r="L39" s="18" t="str">
        <f aca="false">IF(A39="","",SUMIFS('Time Log'!$D$5:$D$2000,'Time Log'!$B$5:$B$2000,A39))</f>
        <v/>
      </c>
      <c r="M39" s="15" t="str">
        <f aca="false">IF(OR(A39="",L39=0),"",H39/L39)</f>
        <v/>
      </c>
      <c r="N39" s="14"/>
      <c r="O39" s="14"/>
      <c r="P39" s="14"/>
      <c r="Q39" s="14"/>
      <c r="R39" s="14"/>
    </row>
    <row r="40" customFormat="false" ht="15" hidden="false" customHeight="false" outlineLevel="0" collapsed="false">
      <c r="A40" s="14"/>
      <c r="B40" s="14"/>
      <c r="C40" s="14"/>
      <c r="D40" s="14"/>
      <c r="E40" s="17"/>
      <c r="F40" s="17"/>
      <c r="G40" s="14"/>
      <c r="H40" s="13"/>
      <c r="I40" s="15" t="str">
        <f aca="false">IF(A40="","",H40*0.5)</f>
        <v/>
      </c>
      <c r="J40" s="15" t="str">
        <f aca="false">IF(A40="","",SUMIFS(Payments!$D$5:$D$2000,Payments!$B$5:$B$2000,A40))</f>
        <v/>
      </c>
      <c r="K40" s="15" t="str">
        <f aca="false">IF(A40="","",H40-J40)</f>
        <v/>
      </c>
      <c r="L40" s="18" t="str">
        <f aca="false">IF(A40="","",SUMIFS('Time Log'!$D$5:$D$2000,'Time Log'!$B$5:$B$2000,A40))</f>
        <v/>
      </c>
      <c r="M40" s="15" t="str">
        <f aca="false">IF(OR(A40="",L40=0),"",H40/L40)</f>
        <v/>
      </c>
      <c r="N40" s="14"/>
      <c r="O40" s="14"/>
      <c r="P40" s="14"/>
      <c r="Q40" s="14"/>
      <c r="R40" s="14"/>
    </row>
    <row r="41" customFormat="false" ht="15" hidden="false" customHeight="false" outlineLevel="0" collapsed="false">
      <c r="A41" s="14"/>
      <c r="B41" s="14"/>
      <c r="C41" s="14"/>
      <c r="D41" s="14"/>
      <c r="E41" s="17"/>
      <c r="F41" s="17"/>
      <c r="G41" s="14"/>
      <c r="H41" s="13"/>
      <c r="I41" s="15" t="str">
        <f aca="false">IF(A41="","",H41*0.5)</f>
        <v/>
      </c>
      <c r="J41" s="15" t="str">
        <f aca="false">IF(A41="","",SUMIFS(Payments!$D$5:$D$2000,Payments!$B$5:$B$2000,A41))</f>
        <v/>
      </c>
      <c r="K41" s="15" t="str">
        <f aca="false">IF(A41="","",H41-J41)</f>
        <v/>
      </c>
      <c r="L41" s="18" t="str">
        <f aca="false">IF(A41="","",SUMIFS('Time Log'!$D$5:$D$2000,'Time Log'!$B$5:$B$2000,A41))</f>
        <v/>
      </c>
      <c r="M41" s="15" t="str">
        <f aca="false">IF(OR(A41="",L41=0),"",H41/L41)</f>
        <v/>
      </c>
      <c r="N41" s="14"/>
      <c r="O41" s="14"/>
      <c r="P41" s="14"/>
      <c r="Q41" s="14"/>
      <c r="R41" s="14"/>
    </row>
    <row r="42" customFormat="false" ht="15" hidden="false" customHeight="false" outlineLevel="0" collapsed="false">
      <c r="A42" s="14"/>
      <c r="B42" s="14"/>
      <c r="C42" s="14"/>
      <c r="D42" s="14"/>
      <c r="E42" s="17"/>
      <c r="F42" s="17"/>
      <c r="G42" s="14"/>
      <c r="H42" s="13"/>
      <c r="I42" s="15" t="str">
        <f aca="false">IF(A42="","",H42*0.5)</f>
        <v/>
      </c>
      <c r="J42" s="15" t="str">
        <f aca="false">IF(A42="","",SUMIFS(Payments!$D$5:$D$2000,Payments!$B$5:$B$2000,A42))</f>
        <v/>
      </c>
      <c r="K42" s="15" t="str">
        <f aca="false">IF(A42="","",H42-J42)</f>
        <v/>
      </c>
      <c r="L42" s="18" t="str">
        <f aca="false">IF(A42="","",SUMIFS('Time Log'!$D$5:$D$2000,'Time Log'!$B$5:$B$2000,A42))</f>
        <v/>
      </c>
      <c r="M42" s="15" t="str">
        <f aca="false">IF(OR(A42="",L42=0),"",H42/L42)</f>
        <v/>
      </c>
      <c r="N42" s="14"/>
      <c r="O42" s="14"/>
      <c r="P42" s="14"/>
      <c r="Q42" s="14"/>
      <c r="R42" s="14"/>
    </row>
    <row r="43" customFormat="false" ht="15" hidden="false" customHeight="false" outlineLevel="0" collapsed="false">
      <c r="A43" s="14"/>
      <c r="B43" s="14"/>
      <c r="C43" s="14"/>
      <c r="D43" s="14"/>
      <c r="E43" s="17"/>
      <c r="F43" s="17"/>
      <c r="G43" s="14"/>
      <c r="H43" s="13"/>
      <c r="I43" s="15" t="str">
        <f aca="false">IF(A43="","",H43*0.5)</f>
        <v/>
      </c>
      <c r="J43" s="15" t="str">
        <f aca="false">IF(A43="","",SUMIFS(Payments!$D$5:$D$2000,Payments!$B$5:$B$2000,A43))</f>
        <v/>
      </c>
      <c r="K43" s="15" t="str">
        <f aca="false">IF(A43="","",H43-J43)</f>
        <v/>
      </c>
      <c r="L43" s="18" t="str">
        <f aca="false">IF(A43="","",SUMIFS('Time Log'!$D$5:$D$2000,'Time Log'!$B$5:$B$2000,A43))</f>
        <v/>
      </c>
      <c r="M43" s="15" t="str">
        <f aca="false">IF(OR(A43="",L43=0),"",H43/L43)</f>
        <v/>
      </c>
      <c r="N43" s="14"/>
      <c r="O43" s="14"/>
      <c r="P43" s="14"/>
      <c r="Q43" s="14"/>
      <c r="R43" s="14"/>
    </row>
    <row r="44" customFormat="false" ht="15" hidden="false" customHeight="false" outlineLevel="0" collapsed="false">
      <c r="A44" s="14"/>
      <c r="B44" s="14"/>
      <c r="C44" s="14"/>
      <c r="D44" s="14"/>
      <c r="E44" s="17"/>
      <c r="F44" s="17"/>
      <c r="G44" s="14"/>
      <c r="H44" s="13"/>
      <c r="I44" s="15" t="str">
        <f aca="false">IF(A44="","",H44*0.5)</f>
        <v/>
      </c>
      <c r="J44" s="15" t="str">
        <f aca="false">IF(A44="","",SUMIFS(Payments!$D$5:$D$2000,Payments!$B$5:$B$2000,A44))</f>
        <v/>
      </c>
      <c r="K44" s="15" t="str">
        <f aca="false">IF(A44="","",H44-J44)</f>
        <v/>
      </c>
      <c r="L44" s="18" t="str">
        <f aca="false">IF(A44="","",SUMIFS('Time Log'!$D$5:$D$2000,'Time Log'!$B$5:$B$2000,A44))</f>
        <v/>
      </c>
      <c r="M44" s="15" t="str">
        <f aca="false">IF(OR(A44="",L44=0),"",H44/L44)</f>
        <v/>
      </c>
      <c r="N44" s="14"/>
      <c r="O44" s="14"/>
      <c r="P44" s="14"/>
      <c r="Q44" s="14"/>
      <c r="R44" s="14"/>
    </row>
    <row r="45" customFormat="false" ht="15" hidden="false" customHeight="false" outlineLevel="0" collapsed="false">
      <c r="A45" s="14"/>
      <c r="B45" s="14"/>
      <c r="C45" s="14"/>
      <c r="D45" s="14"/>
      <c r="E45" s="17"/>
      <c r="F45" s="17"/>
      <c r="G45" s="14"/>
      <c r="H45" s="13"/>
      <c r="I45" s="15" t="str">
        <f aca="false">IF(A45="","",H45*0.5)</f>
        <v/>
      </c>
      <c r="J45" s="15" t="str">
        <f aca="false">IF(A45="","",SUMIFS(Payments!$D$5:$D$2000,Payments!$B$5:$B$2000,A45))</f>
        <v/>
      </c>
      <c r="K45" s="15" t="str">
        <f aca="false">IF(A45="","",H45-J45)</f>
        <v/>
      </c>
      <c r="L45" s="18" t="str">
        <f aca="false">IF(A45="","",SUMIFS('Time Log'!$D$5:$D$2000,'Time Log'!$B$5:$B$2000,A45))</f>
        <v/>
      </c>
      <c r="M45" s="15" t="str">
        <f aca="false">IF(OR(A45="",L45=0),"",H45/L45)</f>
        <v/>
      </c>
      <c r="N45" s="14"/>
      <c r="O45" s="14"/>
      <c r="P45" s="14"/>
      <c r="Q45" s="14"/>
      <c r="R45" s="14"/>
    </row>
    <row r="46" customFormat="false" ht="15" hidden="false" customHeight="false" outlineLevel="0" collapsed="false">
      <c r="A46" s="14"/>
      <c r="B46" s="14"/>
      <c r="C46" s="14"/>
      <c r="D46" s="14"/>
      <c r="E46" s="17"/>
      <c r="F46" s="17"/>
      <c r="G46" s="14"/>
      <c r="H46" s="13"/>
      <c r="I46" s="15" t="str">
        <f aca="false">IF(A46="","",H46*0.5)</f>
        <v/>
      </c>
      <c r="J46" s="15" t="str">
        <f aca="false">IF(A46="","",SUMIFS(Payments!$D$5:$D$2000,Payments!$B$5:$B$2000,A46))</f>
        <v/>
      </c>
      <c r="K46" s="15" t="str">
        <f aca="false">IF(A46="","",H46-J46)</f>
        <v/>
      </c>
      <c r="L46" s="18" t="str">
        <f aca="false">IF(A46="","",SUMIFS('Time Log'!$D$5:$D$2000,'Time Log'!$B$5:$B$2000,A46))</f>
        <v/>
      </c>
      <c r="M46" s="15" t="str">
        <f aca="false">IF(OR(A46="",L46=0),"",H46/L46)</f>
        <v/>
      </c>
      <c r="N46" s="14"/>
      <c r="O46" s="14"/>
      <c r="P46" s="14"/>
      <c r="Q46" s="14"/>
      <c r="R46" s="14"/>
    </row>
    <row r="47" customFormat="false" ht="15" hidden="false" customHeight="false" outlineLevel="0" collapsed="false">
      <c r="A47" s="14"/>
      <c r="B47" s="14"/>
      <c r="C47" s="14"/>
      <c r="D47" s="14"/>
      <c r="E47" s="17"/>
      <c r="F47" s="17"/>
      <c r="G47" s="14"/>
      <c r="H47" s="13"/>
      <c r="I47" s="15" t="str">
        <f aca="false">IF(A47="","",H47*0.5)</f>
        <v/>
      </c>
      <c r="J47" s="15" t="str">
        <f aca="false">IF(A47="","",SUMIFS(Payments!$D$5:$D$2000,Payments!$B$5:$B$2000,A47))</f>
        <v/>
      </c>
      <c r="K47" s="15" t="str">
        <f aca="false">IF(A47="","",H47-J47)</f>
        <v/>
      </c>
      <c r="L47" s="18" t="str">
        <f aca="false">IF(A47="","",SUMIFS('Time Log'!$D$5:$D$2000,'Time Log'!$B$5:$B$2000,A47))</f>
        <v/>
      </c>
      <c r="M47" s="15" t="str">
        <f aca="false">IF(OR(A47="",L47=0),"",H47/L47)</f>
        <v/>
      </c>
      <c r="N47" s="14"/>
      <c r="O47" s="14"/>
      <c r="P47" s="14"/>
      <c r="Q47" s="14"/>
      <c r="R47" s="14"/>
    </row>
    <row r="48" customFormat="false" ht="15" hidden="false" customHeight="false" outlineLevel="0" collapsed="false">
      <c r="A48" s="14"/>
      <c r="B48" s="14"/>
      <c r="C48" s="14"/>
      <c r="D48" s="14"/>
      <c r="E48" s="17"/>
      <c r="F48" s="17"/>
      <c r="G48" s="14"/>
      <c r="H48" s="13"/>
      <c r="I48" s="15" t="str">
        <f aca="false">IF(A48="","",H48*0.5)</f>
        <v/>
      </c>
      <c r="J48" s="15" t="str">
        <f aca="false">IF(A48="","",SUMIFS(Payments!$D$5:$D$2000,Payments!$B$5:$B$2000,A48))</f>
        <v/>
      </c>
      <c r="K48" s="15" t="str">
        <f aca="false">IF(A48="","",H48-J48)</f>
        <v/>
      </c>
      <c r="L48" s="18" t="str">
        <f aca="false">IF(A48="","",SUMIFS('Time Log'!$D$5:$D$2000,'Time Log'!$B$5:$B$2000,A48))</f>
        <v/>
      </c>
      <c r="M48" s="15" t="str">
        <f aca="false">IF(OR(A48="",L48=0),"",H48/L48)</f>
        <v/>
      </c>
      <c r="N48" s="14"/>
      <c r="O48" s="14"/>
      <c r="P48" s="14"/>
      <c r="Q48" s="14"/>
      <c r="R48" s="14"/>
    </row>
    <row r="49" customFormat="false" ht="15" hidden="false" customHeight="false" outlineLevel="0" collapsed="false">
      <c r="A49" s="14"/>
      <c r="B49" s="14"/>
      <c r="C49" s="14"/>
      <c r="D49" s="14"/>
      <c r="E49" s="17"/>
      <c r="F49" s="17"/>
      <c r="G49" s="14"/>
      <c r="H49" s="13"/>
      <c r="I49" s="15" t="str">
        <f aca="false">IF(A49="","",H49*0.5)</f>
        <v/>
      </c>
      <c r="J49" s="15" t="str">
        <f aca="false">IF(A49="","",SUMIFS(Payments!$D$5:$D$2000,Payments!$B$5:$B$2000,A49))</f>
        <v/>
      </c>
      <c r="K49" s="15" t="str">
        <f aca="false">IF(A49="","",H49-J49)</f>
        <v/>
      </c>
      <c r="L49" s="18" t="str">
        <f aca="false">IF(A49="","",SUMIFS('Time Log'!$D$5:$D$2000,'Time Log'!$B$5:$B$2000,A49))</f>
        <v/>
      </c>
      <c r="M49" s="15" t="str">
        <f aca="false">IF(OR(A49="",L49=0),"",H49/L49)</f>
        <v/>
      </c>
      <c r="N49" s="14"/>
      <c r="O49" s="14"/>
      <c r="P49" s="14"/>
      <c r="Q49" s="14"/>
      <c r="R49" s="14"/>
    </row>
    <row r="50" customFormat="false" ht="15" hidden="false" customHeight="false" outlineLevel="0" collapsed="false">
      <c r="A50" s="14"/>
      <c r="B50" s="14"/>
      <c r="C50" s="14"/>
      <c r="D50" s="14"/>
      <c r="E50" s="17"/>
      <c r="F50" s="17"/>
      <c r="G50" s="14"/>
      <c r="H50" s="13"/>
      <c r="I50" s="15" t="str">
        <f aca="false">IF(A50="","",H50*0.5)</f>
        <v/>
      </c>
      <c r="J50" s="15" t="str">
        <f aca="false">IF(A50="","",SUMIFS(Payments!$D$5:$D$2000,Payments!$B$5:$B$2000,A50))</f>
        <v/>
      </c>
      <c r="K50" s="15" t="str">
        <f aca="false">IF(A50="","",H50-J50)</f>
        <v/>
      </c>
      <c r="L50" s="18" t="str">
        <f aca="false">IF(A50="","",SUMIFS('Time Log'!$D$5:$D$2000,'Time Log'!$B$5:$B$2000,A50))</f>
        <v/>
      </c>
      <c r="M50" s="15" t="str">
        <f aca="false">IF(OR(A50="",L50=0),"",H50/L50)</f>
        <v/>
      </c>
      <c r="N50" s="14"/>
      <c r="O50" s="14"/>
      <c r="P50" s="14"/>
      <c r="Q50" s="14"/>
      <c r="R50" s="14"/>
    </row>
    <row r="51" customFormat="false" ht="15" hidden="false" customHeight="false" outlineLevel="0" collapsed="false">
      <c r="A51" s="14"/>
      <c r="B51" s="14"/>
      <c r="C51" s="14"/>
      <c r="D51" s="14"/>
      <c r="E51" s="17"/>
      <c r="F51" s="17"/>
      <c r="G51" s="14"/>
      <c r="H51" s="13"/>
      <c r="I51" s="15" t="str">
        <f aca="false">IF(A51="","",H51*0.5)</f>
        <v/>
      </c>
      <c r="J51" s="15" t="str">
        <f aca="false">IF(A51="","",SUMIFS(Payments!$D$5:$D$2000,Payments!$B$5:$B$2000,A51))</f>
        <v/>
      </c>
      <c r="K51" s="15" t="str">
        <f aca="false">IF(A51="","",H51-J51)</f>
        <v/>
      </c>
      <c r="L51" s="18" t="str">
        <f aca="false">IF(A51="","",SUMIFS('Time Log'!$D$5:$D$2000,'Time Log'!$B$5:$B$2000,A51))</f>
        <v/>
      </c>
      <c r="M51" s="15" t="str">
        <f aca="false">IF(OR(A51="",L51=0),"",H51/L51)</f>
        <v/>
      </c>
      <c r="N51" s="14"/>
      <c r="O51" s="14"/>
      <c r="P51" s="14"/>
      <c r="Q51" s="14"/>
      <c r="R51" s="14"/>
    </row>
    <row r="52" customFormat="false" ht="15" hidden="false" customHeight="false" outlineLevel="0" collapsed="false">
      <c r="A52" s="14"/>
      <c r="B52" s="14"/>
      <c r="C52" s="14"/>
      <c r="D52" s="14"/>
      <c r="E52" s="17"/>
      <c r="F52" s="17"/>
      <c r="G52" s="14"/>
      <c r="H52" s="13"/>
      <c r="I52" s="15" t="str">
        <f aca="false">IF(A52="","",H52*0.5)</f>
        <v/>
      </c>
      <c r="J52" s="15" t="str">
        <f aca="false">IF(A52="","",SUMIFS(Payments!$D$5:$D$2000,Payments!$B$5:$B$2000,A52))</f>
        <v/>
      </c>
      <c r="K52" s="15" t="str">
        <f aca="false">IF(A52="","",H52-J52)</f>
        <v/>
      </c>
      <c r="L52" s="18" t="str">
        <f aca="false">IF(A52="","",SUMIFS('Time Log'!$D$5:$D$2000,'Time Log'!$B$5:$B$2000,A52))</f>
        <v/>
      </c>
      <c r="M52" s="15" t="str">
        <f aca="false">IF(OR(A52="",L52=0),"",H52/L52)</f>
        <v/>
      </c>
      <c r="N52" s="14"/>
      <c r="O52" s="14"/>
      <c r="P52" s="14"/>
      <c r="Q52" s="14"/>
      <c r="R52" s="14"/>
    </row>
    <row r="53" customFormat="false" ht="15" hidden="false" customHeight="false" outlineLevel="0" collapsed="false">
      <c r="A53" s="14"/>
      <c r="B53" s="14"/>
      <c r="C53" s="14"/>
      <c r="D53" s="14"/>
      <c r="E53" s="17"/>
      <c r="F53" s="17"/>
      <c r="G53" s="14"/>
      <c r="H53" s="13"/>
      <c r="I53" s="15" t="str">
        <f aca="false">IF(A53="","",H53*0.5)</f>
        <v/>
      </c>
      <c r="J53" s="15" t="str">
        <f aca="false">IF(A53="","",SUMIFS(Payments!$D$5:$D$2000,Payments!$B$5:$B$2000,A53))</f>
        <v/>
      </c>
      <c r="K53" s="15" t="str">
        <f aca="false">IF(A53="","",H53-J53)</f>
        <v/>
      </c>
      <c r="L53" s="18" t="str">
        <f aca="false">IF(A53="","",SUMIFS('Time Log'!$D$5:$D$2000,'Time Log'!$B$5:$B$2000,A53))</f>
        <v/>
      </c>
      <c r="M53" s="15" t="str">
        <f aca="false">IF(OR(A53="",L53=0),"",H53/L53)</f>
        <v/>
      </c>
      <c r="N53" s="14"/>
      <c r="O53" s="14"/>
      <c r="P53" s="14"/>
      <c r="Q53" s="14"/>
      <c r="R53" s="14"/>
    </row>
    <row r="54" customFormat="false" ht="15" hidden="false" customHeight="false" outlineLevel="0" collapsed="false">
      <c r="A54" s="14"/>
      <c r="B54" s="14"/>
      <c r="C54" s="14"/>
      <c r="D54" s="14"/>
      <c r="E54" s="17"/>
      <c r="F54" s="17"/>
      <c r="G54" s="14"/>
      <c r="H54" s="13"/>
      <c r="I54" s="15" t="str">
        <f aca="false">IF(A54="","",H54*0.5)</f>
        <v/>
      </c>
      <c r="J54" s="15" t="str">
        <f aca="false">IF(A54="","",SUMIFS(Payments!$D$5:$D$2000,Payments!$B$5:$B$2000,A54))</f>
        <v/>
      </c>
      <c r="K54" s="15" t="str">
        <f aca="false">IF(A54="","",H54-J54)</f>
        <v/>
      </c>
      <c r="L54" s="18" t="str">
        <f aca="false">IF(A54="","",SUMIFS('Time Log'!$D$5:$D$2000,'Time Log'!$B$5:$B$2000,A54))</f>
        <v/>
      </c>
      <c r="M54" s="15" t="str">
        <f aca="false">IF(OR(A54="",L54=0),"",H54/L54)</f>
        <v/>
      </c>
      <c r="N54" s="14"/>
      <c r="O54" s="14"/>
      <c r="P54" s="14"/>
      <c r="Q54" s="14"/>
      <c r="R54" s="14"/>
    </row>
    <row r="55" customFormat="false" ht="15" hidden="false" customHeight="false" outlineLevel="0" collapsed="false">
      <c r="A55" s="14"/>
      <c r="B55" s="14"/>
      <c r="C55" s="14"/>
      <c r="D55" s="14"/>
      <c r="E55" s="17"/>
      <c r="F55" s="17"/>
      <c r="G55" s="14"/>
      <c r="H55" s="13"/>
      <c r="I55" s="15" t="str">
        <f aca="false">IF(A55="","",H55*0.5)</f>
        <v/>
      </c>
      <c r="J55" s="15" t="str">
        <f aca="false">IF(A55="","",SUMIFS(Payments!$D$5:$D$2000,Payments!$B$5:$B$2000,A55))</f>
        <v/>
      </c>
      <c r="K55" s="15" t="str">
        <f aca="false">IF(A55="","",H55-J55)</f>
        <v/>
      </c>
      <c r="L55" s="18" t="str">
        <f aca="false">IF(A55="","",SUMIFS('Time Log'!$D$5:$D$2000,'Time Log'!$B$5:$B$2000,A55))</f>
        <v/>
      </c>
      <c r="M55" s="15" t="str">
        <f aca="false">IF(OR(A55="",L55=0),"",H55/L55)</f>
        <v/>
      </c>
      <c r="N55" s="14"/>
      <c r="O55" s="14"/>
      <c r="P55" s="14"/>
      <c r="Q55" s="14"/>
      <c r="R55" s="14"/>
    </row>
    <row r="56" customFormat="false" ht="15" hidden="false" customHeight="false" outlineLevel="0" collapsed="false">
      <c r="A56" s="14"/>
      <c r="B56" s="14"/>
      <c r="C56" s="14"/>
      <c r="D56" s="14"/>
      <c r="E56" s="17"/>
      <c r="F56" s="17"/>
      <c r="G56" s="14"/>
      <c r="H56" s="13"/>
      <c r="I56" s="15" t="str">
        <f aca="false">IF(A56="","",H56*0.5)</f>
        <v/>
      </c>
      <c r="J56" s="15" t="str">
        <f aca="false">IF(A56="","",SUMIFS(Payments!$D$5:$D$2000,Payments!$B$5:$B$2000,A56))</f>
        <v/>
      </c>
      <c r="K56" s="15" t="str">
        <f aca="false">IF(A56="","",H56-J56)</f>
        <v/>
      </c>
      <c r="L56" s="18" t="str">
        <f aca="false">IF(A56="","",SUMIFS('Time Log'!$D$5:$D$2000,'Time Log'!$B$5:$B$2000,A56))</f>
        <v/>
      </c>
      <c r="M56" s="15" t="str">
        <f aca="false">IF(OR(A56="",L56=0),"",H56/L56)</f>
        <v/>
      </c>
      <c r="N56" s="14"/>
      <c r="O56" s="14"/>
      <c r="P56" s="14"/>
      <c r="Q56" s="14"/>
      <c r="R56" s="14"/>
    </row>
    <row r="57" customFormat="false" ht="15" hidden="false" customHeight="false" outlineLevel="0" collapsed="false">
      <c r="A57" s="14"/>
      <c r="B57" s="14"/>
      <c r="C57" s="14"/>
      <c r="D57" s="14"/>
      <c r="E57" s="17"/>
      <c r="F57" s="17"/>
      <c r="G57" s="14"/>
      <c r="H57" s="13"/>
      <c r="I57" s="15" t="str">
        <f aca="false">IF(A57="","",H57*0.5)</f>
        <v/>
      </c>
      <c r="J57" s="15" t="str">
        <f aca="false">IF(A57="","",SUMIFS(Payments!$D$5:$D$2000,Payments!$B$5:$B$2000,A57))</f>
        <v/>
      </c>
      <c r="K57" s="15" t="str">
        <f aca="false">IF(A57="","",H57-J57)</f>
        <v/>
      </c>
      <c r="L57" s="18" t="str">
        <f aca="false">IF(A57="","",SUMIFS('Time Log'!$D$5:$D$2000,'Time Log'!$B$5:$B$2000,A57))</f>
        <v/>
      </c>
      <c r="M57" s="15" t="str">
        <f aca="false">IF(OR(A57="",L57=0),"",H57/L57)</f>
        <v/>
      </c>
      <c r="N57" s="14"/>
      <c r="O57" s="14"/>
      <c r="P57" s="14"/>
      <c r="Q57" s="14"/>
      <c r="R57" s="14"/>
    </row>
    <row r="58" customFormat="false" ht="15" hidden="false" customHeight="false" outlineLevel="0" collapsed="false">
      <c r="A58" s="14"/>
      <c r="B58" s="14"/>
      <c r="C58" s="14"/>
      <c r="D58" s="14"/>
      <c r="E58" s="17"/>
      <c r="F58" s="17"/>
      <c r="G58" s="14"/>
      <c r="H58" s="13"/>
      <c r="I58" s="15" t="str">
        <f aca="false">IF(A58="","",H58*0.5)</f>
        <v/>
      </c>
      <c r="J58" s="15" t="str">
        <f aca="false">IF(A58="","",SUMIFS(Payments!$D$5:$D$2000,Payments!$B$5:$B$2000,A58))</f>
        <v/>
      </c>
      <c r="K58" s="15" t="str">
        <f aca="false">IF(A58="","",H58-J58)</f>
        <v/>
      </c>
      <c r="L58" s="18" t="str">
        <f aca="false">IF(A58="","",SUMIFS('Time Log'!$D$5:$D$2000,'Time Log'!$B$5:$B$2000,A58))</f>
        <v/>
      </c>
      <c r="M58" s="15" t="str">
        <f aca="false">IF(OR(A58="",L58=0),"",H58/L58)</f>
        <v/>
      </c>
      <c r="N58" s="14"/>
      <c r="O58" s="14"/>
      <c r="P58" s="14"/>
      <c r="Q58" s="14"/>
      <c r="R58" s="14"/>
    </row>
    <row r="59" customFormat="false" ht="15" hidden="false" customHeight="false" outlineLevel="0" collapsed="false">
      <c r="A59" s="14"/>
      <c r="B59" s="14"/>
      <c r="C59" s="14"/>
      <c r="D59" s="14"/>
      <c r="E59" s="17"/>
      <c r="F59" s="17"/>
      <c r="G59" s="14"/>
      <c r="H59" s="13"/>
      <c r="I59" s="15" t="str">
        <f aca="false">IF(A59="","",H59*0.5)</f>
        <v/>
      </c>
      <c r="J59" s="15" t="str">
        <f aca="false">IF(A59="","",SUMIFS(Payments!$D$5:$D$2000,Payments!$B$5:$B$2000,A59))</f>
        <v/>
      </c>
      <c r="K59" s="15" t="str">
        <f aca="false">IF(A59="","",H59-J59)</f>
        <v/>
      </c>
      <c r="L59" s="18" t="str">
        <f aca="false">IF(A59="","",SUMIFS('Time Log'!$D$5:$D$2000,'Time Log'!$B$5:$B$2000,A59))</f>
        <v/>
      </c>
      <c r="M59" s="15" t="str">
        <f aca="false">IF(OR(A59="",L59=0),"",H59/L59)</f>
        <v/>
      </c>
      <c r="N59" s="14"/>
      <c r="O59" s="14"/>
      <c r="P59" s="14"/>
      <c r="Q59" s="14"/>
      <c r="R59" s="14"/>
    </row>
    <row r="60" customFormat="false" ht="15" hidden="false" customHeight="false" outlineLevel="0" collapsed="false">
      <c r="A60" s="14"/>
      <c r="B60" s="14"/>
      <c r="C60" s="14"/>
      <c r="D60" s="14"/>
      <c r="E60" s="17"/>
      <c r="F60" s="17"/>
      <c r="G60" s="14"/>
      <c r="H60" s="13"/>
      <c r="I60" s="15" t="str">
        <f aca="false">IF(A60="","",H60*0.5)</f>
        <v/>
      </c>
      <c r="J60" s="15" t="str">
        <f aca="false">IF(A60="","",SUMIFS(Payments!$D$5:$D$2000,Payments!$B$5:$B$2000,A60))</f>
        <v/>
      </c>
      <c r="K60" s="15" t="str">
        <f aca="false">IF(A60="","",H60-J60)</f>
        <v/>
      </c>
      <c r="L60" s="18" t="str">
        <f aca="false">IF(A60="","",SUMIFS('Time Log'!$D$5:$D$2000,'Time Log'!$B$5:$B$2000,A60))</f>
        <v/>
      </c>
      <c r="M60" s="15" t="str">
        <f aca="false">IF(OR(A60="",L60=0),"",H60/L60)</f>
        <v/>
      </c>
      <c r="N60" s="14"/>
      <c r="O60" s="14"/>
      <c r="P60" s="14"/>
      <c r="Q60" s="14"/>
      <c r="R60" s="14"/>
    </row>
    <row r="61" customFormat="false" ht="15" hidden="false" customHeight="false" outlineLevel="0" collapsed="false">
      <c r="A61" s="14"/>
      <c r="B61" s="14"/>
      <c r="C61" s="14"/>
      <c r="D61" s="14"/>
      <c r="E61" s="17"/>
      <c r="F61" s="17"/>
      <c r="G61" s="14"/>
      <c r="H61" s="13"/>
      <c r="I61" s="15" t="str">
        <f aca="false">IF(A61="","",H61*0.5)</f>
        <v/>
      </c>
      <c r="J61" s="15" t="str">
        <f aca="false">IF(A61="","",SUMIFS(Payments!$D$5:$D$2000,Payments!$B$5:$B$2000,A61))</f>
        <v/>
      </c>
      <c r="K61" s="15" t="str">
        <f aca="false">IF(A61="","",H61-J61)</f>
        <v/>
      </c>
      <c r="L61" s="18" t="str">
        <f aca="false">IF(A61="","",SUMIFS('Time Log'!$D$5:$D$2000,'Time Log'!$B$5:$B$2000,A61))</f>
        <v/>
      </c>
      <c r="M61" s="15" t="str">
        <f aca="false">IF(OR(A61="",L61=0),"",H61/L61)</f>
        <v/>
      </c>
      <c r="N61" s="14"/>
      <c r="O61" s="14"/>
      <c r="P61" s="14"/>
      <c r="Q61" s="14"/>
      <c r="R61" s="14"/>
    </row>
    <row r="62" customFormat="false" ht="15" hidden="false" customHeight="false" outlineLevel="0" collapsed="false">
      <c r="A62" s="14"/>
      <c r="B62" s="14"/>
      <c r="C62" s="14"/>
      <c r="D62" s="14"/>
      <c r="E62" s="17"/>
      <c r="F62" s="17"/>
      <c r="G62" s="14"/>
      <c r="H62" s="13"/>
      <c r="I62" s="15" t="str">
        <f aca="false">IF(A62="","",H62*0.5)</f>
        <v/>
      </c>
      <c r="J62" s="15" t="str">
        <f aca="false">IF(A62="","",SUMIFS(Payments!$D$5:$D$2000,Payments!$B$5:$B$2000,A62))</f>
        <v/>
      </c>
      <c r="K62" s="15" t="str">
        <f aca="false">IF(A62="","",H62-J62)</f>
        <v/>
      </c>
      <c r="L62" s="18" t="str">
        <f aca="false">IF(A62="","",SUMIFS('Time Log'!$D$5:$D$2000,'Time Log'!$B$5:$B$2000,A62))</f>
        <v/>
      </c>
      <c r="M62" s="15" t="str">
        <f aca="false">IF(OR(A62="",L62=0),"",H62/L62)</f>
        <v/>
      </c>
      <c r="N62" s="14"/>
      <c r="O62" s="14"/>
      <c r="P62" s="14"/>
      <c r="Q62" s="14"/>
      <c r="R62" s="14"/>
    </row>
    <row r="63" customFormat="false" ht="15" hidden="false" customHeight="false" outlineLevel="0" collapsed="false">
      <c r="A63" s="14"/>
      <c r="B63" s="14"/>
      <c r="C63" s="14"/>
      <c r="D63" s="14"/>
      <c r="E63" s="17"/>
      <c r="F63" s="17"/>
      <c r="G63" s="14"/>
      <c r="H63" s="13"/>
      <c r="I63" s="15" t="str">
        <f aca="false">IF(A63="","",H63*0.5)</f>
        <v/>
      </c>
      <c r="J63" s="15" t="str">
        <f aca="false">IF(A63="","",SUMIFS(Payments!$D$5:$D$2000,Payments!$B$5:$B$2000,A63))</f>
        <v/>
      </c>
      <c r="K63" s="15" t="str">
        <f aca="false">IF(A63="","",H63-J63)</f>
        <v/>
      </c>
      <c r="L63" s="18" t="str">
        <f aca="false">IF(A63="","",SUMIFS('Time Log'!$D$5:$D$2000,'Time Log'!$B$5:$B$2000,A63))</f>
        <v/>
      </c>
      <c r="M63" s="15" t="str">
        <f aca="false">IF(OR(A63="",L63=0),"",H63/L63)</f>
        <v/>
      </c>
      <c r="N63" s="14"/>
      <c r="O63" s="14"/>
      <c r="P63" s="14"/>
      <c r="Q63" s="14"/>
      <c r="R63" s="14"/>
    </row>
    <row r="64" customFormat="false" ht="15" hidden="false" customHeight="false" outlineLevel="0" collapsed="false">
      <c r="A64" s="14"/>
      <c r="B64" s="14"/>
      <c r="C64" s="14"/>
      <c r="D64" s="14"/>
      <c r="E64" s="17"/>
      <c r="F64" s="17"/>
      <c r="G64" s="14"/>
      <c r="H64" s="13"/>
      <c r="I64" s="15" t="str">
        <f aca="false">IF(A64="","",H64*0.5)</f>
        <v/>
      </c>
      <c r="J64" s="15" t="str">
        <f aca="false">IF(A64="","",SUMIFS(Payments!$D$5:$D$2000,Payments!$B$5:$B$2000,A64))</f>
        <v/>
      </c>
      <c r="K64" s="15" t="str">
        <f aca="false">IF(A64="","",H64-J64)</f>
        <v/>
      </c>
      <c r="L64" s="18" t="str">
        <f aca="false">IF(A64="","",SUMIFS('Time Log'!$D$5:$D$2000,'Time Log'!$B$5:$B$2000,A64))</f>
        <v/>
      </c>
      <c r="M64" s="15" t="str">
        <f aca="false">IF(OR(A64="",L64=0),"",H64/L64)</f>
        <v/>
      </c>
      <c r="N64" s="14"/>
      <c r="O64" s="14"/>
      <c r="P64" s="14"/>
      <c r="Q64" s="14"/>
      <c r="R64" s="14"/>
    </row>
    <row r="65" customFormat="false" ht="15" hidden="false" customHeight="false" outlineLevel="0" collapsed="false">
      <c r="A65" s="14"/>
      <c r="B65" s="14"/>
      <c r="C65" s="14"/>
      <c r="D65" s="14"/>
      <c r="E65" s="17"/>
      <c r="F65" s="17"/>
      <c r="G65" s="14"/>
      <c r="H65" s="13"/>
      <c r="I65" s="15" t="str">
        <f aca="false">IF(A65="","",H65*0.5)</f>
        <v/>
      </c>
      <c r="J65" s="15" t="str">
        <f aca="false">IF(A65="","",SUMIFS(Payments!$D$5:$D$2000,Payments!$B$5:$B$2000,A65))</f>
        <v/>
      </c>
      <c r="K65" s="15" t="str">
        <f aca="false">IF(A65="","",H65-J65)</f>
        <v/>
      </c>
      <c r="L65" s="18" t="str">
        <f aca="false">IF(A65="","",SUMIFS('Time Log'!$D$5:$D$2000,'Time Log'!$B$5:$B$2000,A65))</f>
        <v/>
      </c>
      <c r="M65" s="15" t="str">
        <f aca="false">IF(OR(A65="",L65=0),"",H65/L65)</f>
        <v/>
      </c>
      <c r="N65" s="14"/>
      <c r="O65" s="14"/>
      <c r="P65" s="14"/>
      <c r="Q65" s="14"/>
      <c r="R65" s="14"/>
    </row>
    <row r="66" customFormat="false" ht="15" hidden="false" customHeight="false" outlineLevel="0" collapsed="false">
      <c r="A66" s="14"/>
      <c r="B66" s="14"/>
      <c r="C66" s="14"/>
      <c r="D66" s="14"/>
      <c r="E66" s="17"/>
      <c r="F66" s="17"/>
      <c r="G66" s="14"/>
      <c r="H66" s="13"/>
      <c r="I66" s="15" t="str">
        <f aca="false">IF(A66="","",H66*0.5)</f>
        <v/>
      </c>
      <c r="J66" s="15" t="str">
        <f aca="false">IF(A66="","",SUMIFS(Payments!$D$5:$D$2000,Payments!$B$5:$B$2000,A66))</f>
        <v/>
      </c>
      <c r="K66" s="15" t="str">
        <f aca="false">IF(A66="","",H66-J66)</f>
        <v/>
      </c>
      <c r="L66" s="18" t="str">
        <f aca="false">IF(A66="","",SUMIFS('Time Log'!$D$5:$D$2000,'Time Log'!$B$5:$B$2000,A66))</f>
        <v/>
      </c>
      <c r="M66" s="15" t="str">
        <f aca="false">IF(OR(A66="",L66=0),"",H66/L66)</f>
        <v/>
      </c>
      <c r="N66" s="14"/>
      <c r="O66" s="14"/>
      <c r="P66" s="14"/>
      <c r="Q66" s="14"/>
      <c r="R66" s="14"/>
    </row>
    <row r="67" customFormat="false" ht="15" hidden="false" customHeight="false" outlineLevel="0" collapsed="false">
      <c r="A67" s="14"/>
      <c r="B67" s="14"/>
      <c r="C67" s="14"/>
      <c r="D67" s="14"/>
      <c r="E67" s="17"/>
      <c r="F67" s="17"/>
      <c r="G67" s="14"/>
      <c r="H67" s="13"/>
      <c r="I67" s="15" t="str">
        <f aca="false">IF(A67="","",H67*0.5)</f>
        <v/>
      </c>
      <c r="J67" s="15" t="str">
        <f aca="false">IF(A67="","",SUMIFS(Payments!$D$5:$D$2000,Payments!$B$5:$B$2000,A67))</f>
        <v/>
      </c>
      <c r="K67" s="15" t="str">
        <f aca="false">IF(A67="","",H67-J67)</f>
        <v/>
      </c>
      <c r="L67" s="18" t="str">
        <f aca="false">IF(A67="","",SUMIFS('Time Log'!$D$5:$D$2000,'Time Log'!$B$5:$B$2000,A67))</f>
        <v/>
      </c>
      <c r="M67" s="15" t="str">
        <f aca="false">IF(OR(A67="",L67=0),"",H67/L67)</f>
        <v/>
      </c>
      <c r="N67" s="14"/>
      <c r="O67" s="14"/>
      <c r="P67" s="14"/>
      <c r="Q67" s="14"/>
      <c r="R67" s="14"/>
    </row>
    <row r="68" customFormat="false" ht="15" hidden="false" customHeight="false" outlineLevel="0" collapsed="false">
      <c r="A68" s="14"/>
      <c r="B68" s="14"/>
      <c r="C68" s="14"/>
      <c r="D68" s="14"/>
      <c r="E68" s="17"/>
      <c r="F68" s="17"/>
      <c r="G68" s="14"/>
      <c r="H68" s="13"/>
      <c r="I68" s="15" t="str">
        <f aca="false">IF(A68="","",H68*0.5)</f>
        <v/>
      </c>
      <c r="J68" s="15" t="str">
        <f aca="false">IF(A68="","",SUMIFS(Payments!$D$5:$D$2000,Payments!$B$5:$B$2000,A68))</f>
        <v/>
      </c>
      <c r="K68" s="15" t="str">
        <f aca="false">IF(A68="","",H68-J68)</f>
        <v/>
      </c>
      <c r="L68" s="18" t="str">
        <f aca="false">IF(A68="","",SUMIFS('Time Log'!$D$5:$D$2000,'Time Log'!$B$5:$B$2000,A68))</f>
        <v/>
      </c>
      <c r="M68" s="15" t="str">
        <f aca="false">IF(OR(A68="",L68=0),"",H68/L68)</f>
        <v/>
      </c>
      <c r="N68" s="14"/>
      <c r="O68" s="14"/>
      <c r="P68" s="14"/>
      <c r="Q68" s="14"/>
      <c r="R68" s="14"/>
    </row>
    <row r="69" customFormat="false" ht="15" hidden="false" customHeight="false" outlineLevel="0" collapsed="false">
      <c r="A69" s="14"/>
      <c r="B69" s="14"/>
      <c r="C69" s="14"/>
      <c r="D69" s="14"/>
      <c r="E69" s="17"/>
      <c r="F69" s="17"/>
      <c r="G69" s="14"/>
      <c r="H69" s="13"/>
      <c r="I69" s="15" t="str">
        <f aca="false">IF(A69="","",H69*0.5)</f>
        <v/>
      </c>
      <c r="J69" s="15" t="str">
        <f aca="false">IF(A69="","",SUMIFS(Payments!$D$5:$D$2000,Payments!$B$5:$B$2000,A69))</f>
        <v/>
      </c>
      <c r="K69" s="15" t="str">
        <f aca="false">IF(A69="","",H69-J69)</f>
        <v/>
      </c>
      <c r="L69" s="18" t="str">
        <f aca="false">IF(A69="","",SUMIFS('Time Log'!$D$5:$D$2000,'Time Log'!$B$5:$B$2000,A69))</f>
        <v/>
      </c>
      <c r="M69" s="15" t="str">
        <f aca="false">IF(OR(A69="",L69=0),"",H69/L69)</f>
        <v/>
      </c>
      <c r="N69" s="14"/>
      <c r="O69" s="14"/>
      <c r="P69" s="14"/>
      <c r="Q69" s="14"/>
      <c r="R69" s="14"/>
    </row>
    <row r="70" customFormat="false" ht="15" hidden="false" customHeight="false" outlineLevel="0" collapsed="false">
      <c r="A70" s="14"/>
      <c r="B70" s="14"/>
      <c r="C70" s="14"/>
      <c r="D70" s="14"/>
      <c r="E70" s="17"/>
      <c r="F70" s="17"/>
      <c r="G70" s="14"/>
      <c r="H70" s="13"/>
      <c r="I70" s="15" t="str">
        <f aca="false">IF(A70="","",H70*0.5)</f>
        <v/>
      </c>
      <c r="J70" s="15" t="str">
        <f aca="false">IF(A70="","",SUMIFS(Payments!$D$5:$D$2000,Payments!$B$5:$B$2000,A70))</f>
        <v/>
      </c>
      <c r="K70" s="15" t="str">
        <f aca="false">IF(A70="","",H70-J70)</f>
        <v/>
      </c>
      <c r="L70" s="18" t="str">
        <f aca="false">IF(A70="","",SUMIFS('Time Log'!$D$5:$D$2000,'Time Log'!$B$5:$B$2000,A70))</f>
        <v/>
      </c>
      <c r="M70" s="15" t="str">
        <f aca="false">IF(OR(A70="",L70=0),"",H70/L70)</f>
        <v/>
      </c>
      <c r="N70" s="14"/>
      <c r="O70" s="14"/>
      <c r="P70" s="14"/>
      <c r="Q70" s="14"/>
      <c r="R70" s="14"/>
    </row>
    <row r="71" customFormat="false" ht="15" hidden="false" customHeight="false" outlineLevel="0" collapsed="false">
      <c r="A71" s="14"/>
      <c r="B71" s="14"/>
      <c r="C71" s="14"/>
      <c r="D71" s="14"/>
      <c r="E71" s="17"/>
      <c r="F71" s="17"/>
      <c r="G71" s="14"/>
      <c r="H71" s="13"/>
      <c r="I71" s="15" t="str">
        <f aca="false">IF(A71="","",H71*0.5)</f>
        <v/>
      </c>
      <c r="J71" s="15" t="str">
        <f aca="false">IF(A71="","",SUMIFS(Payments!$D$5:$D$2000,Payments!$B$5:$B$2000,A71))</f>
        <v/>
      </c>
      <c r="K71" s="15" t="str">
        <f aca="false">IF(A71="","",H71-J71)</f>
        <v/>
      </c>
      <c r="L71" s="18" t="str">
        <f aca="false">IF(A71="","",SUMIFS('Time Log'!$D$5:$D$2000,'Time Log'!$B$5:$B$2000,A71))</f>
        <v/>
      </c>
      <c r="M71" s="15" t="str">
        <f aca="false">IF(OR(A71="",L71=0),"",H71/L71)</f>
        <v/>
      </c>
      <c r="N71" s="14"/>
      <c r="O71" s="14"/>
      <c r="P71" s="14"/>
      <c r="Q71" s="14"/>
      <c r="R71" s="14"/>
    </row>
    <row r="72" customFormat="false" ht="15" hidden="false" customHeight="false" outlineLevel="0" collapsed="false">
      <c r="A72" s="14"/>
      <c r="B72" s="14"/>
      <c r="C72" s="14"/>
      <c r="D72" s="14"/>
      <c r="E72" s="17"/>
      <c r="F72" s="17"/>
      <c r="G72" s="14"/>
      <c r="H72" s="13"/>
      <c r="I72" s="15" t="str">
        <f aca="false">IF(A72="","",H72*0.5)</f>
        <v/>
      </c>
      <c r="J72" s="15" t="str">
        <f aca="false">IF(A72="","",SUMIFS(Payments!$D$5:$D$2000,Payments!$B$5:$B$2000,A72))</f>
        <v/>
      </c>
      <c r="K72" s="15" t="str">
        <f aca="false">IF(A72="","",H72-J72)</f>
        <v/>
      </c>
      <c r="L72" s="18" t="str">
        <f aca="false">IF(A72="","",SUMIFS('Time Log'!$D$5:$D$2000,'Time Log'!$B$5:$B$2000,A72))</f>
        <v/>
      </c>
      <c r="M72" s="15" t="str">
        <f aca="false">IF(OR(A72="",L72=0),"",H72/L72)</f>
        <v/>
      </c>
      <c r="N72" s="14"/>
      <c r="O72" s="14"/>
      <c r="P72" s="14"/>
      <c r="Q72" s="14"/>
      <c r="R72" s="14"/>
    </row>
    <row r="73" customFormat="false" ht="15" hidden="false" customHeight="false" outlineLevel="0" collapsed="false">
      <c r="A73" s="14"/>
      <c r="B73" s="14"/>
      <c r="C73" s="14"/>
      <c r="D73" s="14"/>
      <c r="E73" s="17"/>
      <c r="F73" s="17"/>
      <c r="G73" s="14"/>
      <c r="H73" s="13"/>
      <c r="I73" s="15" t="str">
        <f aca="false">IF(A73="","",H73*0.5)</f>
        <v/>
      </c>
      <c r="J73" s="15" t="str">
        <f aca="false">IF(A73="","",SUMIFS(Payments!$D$5:$D$2000,Payments!$B$5:$B$2000,A73))</f>
        <v/>
      </c>
      <c r="K73" s="15" t="str">
        <f aca="false">IF(A73="","",H73-J73)</f>
        <v/>
      </c>
      <c r="L73" s="18" t="str">
        <f aca="false">IF(A73="","",SUMIFS('Time Log'!$D$5:$D$2000,'Time Log'!$B$5:$B$2000,A73))</f>
        <v/>
      </c>
      <c r="M73" s="15" t="str">
        <f aca="false">IF(OR(A73="",L73=0),"",H73/L73)</f>
        <v/>
      </c>
      <c r="N73" s="14"/>
      <c r="O73" s="14"/>
      <c r="P73" s="14"/>
      <c r="Q73" s="14"/>
      <c r="R73" s="14"/>
    </row>
    <row r="74" customFormat="false" ht="15" hidden="false" customHeight="false" outlineLevel="0" collapsed="false">
      <c r="A74" s="14"/>
      <c r="B74" s="14"/>
      <c r="C74" s="14"/>
      <c r="D74" s="14"/>
      <c r="E74" s="17"/>
      <c r="F74" s="17"/>
      <c r="G74" s="14"/>
      <c r="H74" s="13"/>
      <c r="I74" s="15" t="str">
        <f aca="false">IF(A74="","",H74*0.5)</f>
        <v/>
      </c>
      <c r="J74" s="15" t="str">
        <f aca="false">IF(A74="","",SUMIFS(Payments!$D$5:$D$2000,Payments!$B$5:$B$2000,A74))</f>
        <v/>
      </c>
      <c r="K74" s="15" t="str">
        <f aca="false">IF(A74="","",H74-J74)</f>
        <v/>
      </c>
      <c r="L74" s="18" t="str">
        <f aca="false">IF(A74="","",SUMIFS('Time Log'!$D$5:$D$2000,'Time Log'!$B$5:$B$2000,A74))</f>
        <v/>
      </c>
      <c r="M74" s="15" t="str">
        <f aca="false">IF(OR(A74="",L74=0),"",H74/L74)</f>
        <v/>
      </c>
      <c r="N74" s="14"/>
      <c r="O74" s="14"/>
      <c r="P74" s="14"/>
      <c r="Q74" s="14"/>
      <c r="R74" s="14"/>
    </row>
    <row r="75" customFormat="false" ht="15" hidden="false" customHeight="false" outlineLevel="0" collapsed="false">
      <c r="A75" s="14"/>
      <c r="B75" s="14"/>
      <c r="C75" s="14"/>
      <c r="D75" s="14"/>
      <c r="E75" s="17"/>
      <c r="F75" s="17"/>
      <c r="G75" s="14"/>
      <c r="H75" s="13"/>
      <c r="I75" s="15" t="str">
        <f aca="false">IF(A75="","",H75*0.5)</f>
        <v/>
      </c>
      <c r="J75" s="15" t="str">
        <f aca="false">IF(A75="","",SUMIFS(Payments!$D$5:$D$2000,Payments!$B$5:$B$2000,A75))</f>
        <v/>
      </c>
      <c r="K75" s="15" t="str">
        <f aca="false">IF(A75="","",H75-J75)</f>
        <v/>
      </c>
      <c r="L75" s="18" t="str">
        <f aca="false">IF(A75="","",SUMIFS('Time Log'!$D$5:$D$2000,'Time Log'!$B$5:$B$2000,A75))</f>
        <v/>
      </c>
      <c r="M75" s="15" t="str">
        <f aca="false">IF(OR(A75="",L75=0),"",H75/L75)</f>
        <v/>
      </c>
      <c r="N75" s="14"/>
      <c r="O75" s="14"/>
      <c r="P75" s="14"/>
      <c r="Q75" s="14"/>
      <c r="R75" s="14"/>
    </row>
    <row r="76" customFormat="false" ht="15" hidden="false" customHeight="false" outlineLevel="0" collapsed="false">
      <c r="A76" s="14"/>
      <c r="B76" s="14"/>
      <c r="C76" s="14"/>
      <c r="D76" s="14"/>
      <c r="E76" s="17"/>
      <c r="F76" s="17"/>
      <c r="G76" s="14"/>
      <c r="H76" s="13"/>
      <c r="I76" s="15" t="str">
        <f aca="false">IF(A76="","",H76*0.5)</f>
        <v/>
      </c>
      <c r="J76" s="15" t="str">
        <f aca="false">IF(A76="","",SUMIFS(Payments!$D$5:$D$2000,Payments!$B$5:$B$2000,A76))</f>
        <v/>
      </c>
      <c r="K76" s="15" t="str">
        <f aca="false">IF(A76="","",H76-J76)</f>
        <v/>
      </c>
      <c r="L76" s="18" t="str">
        <f aca="false">IF(A76="","",SUMIFS('Time Log'!$D$5:$D$2000,'Time Log'!$B$5:$B$2000,A76))</f>
        <v/>
      </c>
      <c r="M76" s="15" t="str">
        <f aca="false">IF(OR(A76="",L76=0),"",H76/L76)</f>
        <v/>
      </c>
      <c r="N76" s="14"/>
      <c r="O76" s="14"/>
      <c r="P76" s="14"/>
      <c r="Q76" s="14"/>
      <c r="R76" s="14"/>
    </row>
    <row r="77" customFormat="false" ht="15" hidden="false" customHeight="false" outlineLevel="0" collapsed="false">
      <c r="A77" s="14"/>
      <c r="B77" s="14"/>
      <c r="C77" s="14"/>
      <c r="D77" s="14"/>
      <c r="E77" s="17"/>
      <c r="F77" s="17"/>
      <c r="G77" s="14"/>
      <c r="H77" s="13"/>
      <c r="I77" s="15" t="str">
        <f aca="false">IF(A77="","",H77*0.5)</f>
        <v/>
      </c>
      <c r="J77" s="15" t="str">
        <f aca="false">IF(A77="","",SUMIFS(Payments!$D$5:$D$2000,Payments!$B$5:$B$2000,A77))</f>
        <v/>
      </c>
      <c r="K77" s="15" t="str">
        <f aca="false">IF(A77="","",H77-J77)</f>
        <v/>
      </c>
      <c r="L77" s="18" t="str">
        <f aca="false">IF(A77="","",SUMIFS('Time Log'!$D$5:$D$2000,'Time Log'!$B$5:$B$2000,A77))</f>
        <v/>
      </c>
      <c r="M77" s="15" t="str">
        <f aca="false">IF(OR(A77="",L77=0),"",H77/L77)</f>
        <v/>
      </c>
      <c r="N77" s="14"/>
      <c r="O77" s="14"/>
      <c r="P77" s="14"/>
      <c r="Q77" s="14"/>
      <c r="R77" s="14"/>
    </row>
    <row r="78" customFormat="false" ht="15" hidden="false" customHeight="false" outlineLevel="0" collapsed="false">
      <c r="A78" s="14"/>
      <c r="B78" s="14"/>
      <c r="C78" s="14"/>
      <c r="D78" s="14"/>
      <c r="E78" s="17"/>
      <c r="F78" s="17"/>
      <c r="G78" s="14"/>
      <c r="H78" s="13"/>
      <c r="I78" s="15" t="str">
        <f aca="false">IF(A78="","",H78*0.5)</f>
        <v/>
      </c>
      <c r="J78" s="15" t="str">
        <f aca="false">IF(A78="","",SUMIFS(Payments!$D$5:$D$2000,Payments!$B$5:$B$2000,A78))</f>
        <v/>
      </c>
      <c r="K78" s="15" t="str">
        <f aca="false">IF(A78="","",H78-J78)</f>
        <v/>
      </c>
      <c r="L78" s="18" t="str">
        <f aca="false">IF(A78="","",SUMIFS('Time Log'!$D$5:$D$2000,'Time Log'!$B$5:$B$2000,A78))</f>
        <v/>
      </c>
      <c r="M78" s="15" t="str">
        <f aca="false">IF(OR(A78="",L78=0),"",H78/L78)</f>
        <v/>
      </c>
      <c r="N78" s="14"/>
      <c r="O78" s="14"/>
      <c r="P78" s="14"/>
      <c r="Q78" s="14"/>
      <c r="R78" s="14"/>
    </row>
    <row r="79" customFormat="false" ht="15" hidden="false" customHeight="false" outlineLevel="0" collapsed="false">
      <c r="A79" s="14"/>
      <c r="B79" s="14"/>
      <c r="C79" s="14"/>
      <c r="D79" s="14"/>
      <c r="E79" s="17"/>
      <c r="F79" s="17"/>
      <c r="G79" s="14"/>
      <c r="H79" s="13"/>
      <c r="I79" s="15" t="str">
        <f aca="false">IF(A79="","",H79*0.5)</f>
        <v/>
      </c>
      <c r="J79" s="15" t="str">
        <f aca="false">IF(A79="","",SUMIFS(Payments!$D$5:$D$2000,Payments!$B$5:$B$2000,A79))</f>
        <v/>
      </c>
      <c r="K79" s="15" t="str">
        <f aca="false">IF(A79="","",H79-J79)</f>
        <v/>
      </c>
      <c r="L79" s="18" t="str">
        <f aca="false">IF(A79="","",SUMIFS('Time Log'!$D$5:$D$2000,'Time Log'!$B$5:$B$2000,A79))</f>
        <v/>
      </c>
      <c r="M79" s="15" t="str">
        <f aca="false">IF(OR(A79="",L79=0),"",H79/L79)</f>
        <v/>
      </c>
      <c r="N79" s="14"/>
      <c r="O79" s="14"/>
      <c r="P79" s="14"/>
      <c r="Q79" s="14"/>
      <c r="R79" s="14"/>
    </row>
    <row r="80" customFormat="false" ht="15" hidden="false" customHeight="false" outlineLevel="0" collapsed="false">
      <c r="A80" s="14"/>
      <c r="B80" s="14"/>
      <c r="C80" s="14"/>
      <c r="D80" s="14"/>
      <c r="E80" s="17"/>
      <c r="F80" s="17"/>
      <c r="G80" s="14"/>
      <c r="H80" s="13"/>
      <c r="I80" s="15" t="str">
        <f aca="false">IF(A80="","",H80*0.5)</f>
        <v/>
      </c>
      <c r="J80" s="15" t="str">
        <f aca="false">IF(A80="","",SUMIFS(Payments!$D$5:$D$2000,Payments!$B$5:$B$2000,A80))</f>
        <v/>
      </c>
      <c r="K80" s="15" t="str">
        <f aca="false">IF(A80="","",H80-J80)</f>
        <v/>
      </c>
      <c r="L80" s="18" t="str">
        <f aca="false">IF(A80="","",SUMIFS('Time Log'!$D$5:$D$2000,'Time Log'!$B$5:$B$2000,A80))</f>
        <v/>
      </c>
      <c r="M80" s="15" t="str">
        <f aca="false">IF(OR(A80="",L80=0),"",H80/L80)</f>
        <v/>
      </c>
      <c r="N80" s="14"/>
      <c r="O80" s="14"/>
      <c r="P80" s="14"/>
      <c r="Q80" s="14"/>
      <c r="R80" s="14"/>
    </row>
    <row r="81" customFormat="false" ht="15" hidden="false" customHeight="false" outlineLevel="0" collapsed="false">
      <c r="A81" s="14"/>
      <c r="B81" s="14"/>
      <c r="C81" s="14"/>
      <c r="D81" s="14"/>
      <c r="E81" s="17"/>
      <c r="F81" s="17"/>
      <c r="G81" s="14"/>
      <c r="H81" s="13"/>
      <c r="I81" s="15" t="str">
        <f aca="false">IF(A81="","",H81*0.5)</f>
        <v/>
      </c>
      <c r="J81" s="15" t="str">
        <f aca="false">IF(A81="","",SUMIFS(Payments!$D$5:$D$2000,Payments!$B$5:$B$2000,A81))</f>
        <v/>
      </c>
      <c r="K81" s="15" t="str">
        <f aca="false">IF(A81="","",H81-J81)</f>
        <v/>
      </c>
      <c r="L81" s="18" t="str">
        <f aca="false">IF(A81="","",SUMIFS('Time Log'!$D$5:$D$2000,'Time Log'!$B$5:$B$2000,A81))</f>
        <v/>
      </c>
      <c r="M81" s="15" t="str">
        <f aca="false">IF(OR(A81="",L81=0),"",H81/L81)</f>
        <v/>
      </c>
      <c r="N81" s="14"/>
      <c r="O81" s="14"/>
      <c r="P81" s="14"/>
      <c r="Q81" s="14"/>
      <c r="R81" s="14"/>
    </row>
    <row r="82" customFormat="false" ht="15" hidden="false" customHeight="false" outlineLevel="0" collapsed="false">
      <c r="A82" s="14"/>
      <c r="B82" s="14"/>
      <c r="C82" s="14"/>
      <c r="D82" s="14"/>
      <c r="E82" s="17"/>
      <c r="F82" s="17"/>
      <c r="G82" s="14"/>
      <c r="H82" s="13"/>
      <c r="I82" s="15" t="str">
        <f aca="false">IF(A82="","",H82*0.5)</f>
        <v/>
      </c>
      <c r="J82" s="15" t="str">
        <f aca="false">IF(A82="","",SUMIFS(Payments!$D$5:$D$2000,Payments!$B$5:$B$2000,A82))</f>
        <v/>
      </c>
      <c r="K82" s="15" t="str">
        <f aca="false">IF(A82="","",H82-J82)</f>
        <v/>
      </c>
      <c r="L82" s="18" t="str">
        <f aca="false">IF(A82="","",SUMIFS('Time Log'!$D$5:$D$2000,'Time Log'!$B$5:$B$2000,A82))</f>
        <v/>
      </c>
      <c r="M82" s="15" t="str">
        <f aca="false">IF(OR(A82="",L82=0),"",H82/L82)</f>
        <v/>
      </c>
      <c r="N82" s="14"/>
      <c r="O82" s="14"/>
      <c r="P82" s="14"/>
      <c r="Q82" s="14"/>
      <c r="R82" s="14"/>
    </row>
    <row r="83" customFormat="false" ht="15" hidden="false" customHeight="false" outlineLevel="0" collapsed="false">
      <c r="A83" s="14"/>
      <c r="B83" s="14"/>
      <c r="C83" s="14"/>
      <c r="D83" s="14"/>
      <c r="E83" s="17"/>
      <c r="F83" s="17"/>
      <c r="G83" s="14"/>
      <c r="H83" s="13"/>
      <c r="I83" s="15" t="str">
        <f aca="false">IF(A83="","",H83*0.5)</f>
        <v/>
      </c>
      <c r="J83" s="15" t="str">
        <f aca="false">IF(A83="","",SUMIFS(Payments!$D$5:$D$2000,Payments!$B$5:$B$2000,A83))</f>
        <v/>
      </c>
      <c r="K83" s="15" t="str">
        <f aca="false">IF(A83="","",H83-J83)</f>
        <v/>
      </c>
      <c r="L83" s="18" t="str">
        <f aca="false">IF(A83="","",SUMIFS('Time Log'!$D$5:$D$2000,'Time Log'!$B$5:$B$2000,A83))</f>
        <v/>
      </c>
      <c r="M83" s="15" t="str">
        <f aca="false">IF(OR(A83="",L83=0),"",H83/L83)</f>
        <v/>
      </c>
      <c r="N83" s="14"/>
      <c r="O83" s="14"/>
      <c r="P83" s="14"/>
      <c r="Q83" s="14"/>
      <c r="R83" s="14"/>
    </row>
    <row r="84" customFormat="false" ht="15" hidden="false" customHeight="false" outlineLevel="0" collapsed="false">
      <c r="A84" s="14"/>
      <c r="B84" s="14"/>
      <c r="C84" s="14"/>
      <c r="D84" s="14"/>
      <c r="E84" s="17"/>
      <c r="F84" s="17"/>
      <c r="G84" s="14"/>
      <c r="H84" s="13"/>
      <c r="I84" s="15" t="str">
        <f aca="false">IF(A84="","",H84*0.5)</f>
        <v/>
      </c>
      <c r="J84" s="15" t="str">
        <f aca="false">IF(A84="","",SUMIFS(Payments!$D$5:$D$2000,Payments!$B$5:$B$2000,A84))</f>
        <v/>
      </c>
      <c r="K84" s="15" t="str">
        <f aca="false">IF(A84="","",H84-J84)</f>
        <v/>
      </c>
      <c r="L84" s="18" t="str">
        <f aca="false">IF(A84="","",SUMIFS('Time Log'!$D$5:$D$2000,'Time Log'!$B$5:$B$2000,A84))</f>
        <v/>
      </c>
      <c r="M84" s="15" t="str">
        <f aca="false">IF(OR(A84="",L84=0),"",H84/L84)</f>
        <v/>
      </c>
      <c r="N84" s="14"/>
      <c r="O84" s="14"/>
      <c r="P84" s="14"/>
      <c r="Q84" s="14"/>
      <c r="R84" s="14"/>
    </row>
    <row r="85" customFormat="false" ht="15" hidden="false" customHeight="false" outlineLevel="0" collapsed="false">
      <c r="A85" s="14"/>
      <c r="B85" s="14"/>
      <c r="C85" s="14"/>
      <c r="D85" s="14"/>
      <c r="E85" s="17"/>
      <c r="F85" s="17"/>
      <c r="G85" s="14"/>
      <c r="H85" s="13"/>
      <c r="I85" s="15" t="str">
        <f aca="false">IF(A85="","",H85*0.5)</f>
        <v/>
      </c>
      <c r="J85" s="15" t="str">
        <f aca="false">IF(A85="","",SUMIFS(Payments!$D$5:$D$2000,Payments!$B$5:$B$2000,A85))</f>
        <v/>
      </c>
      <c r="K85" s="15" t="str">
        <f aca="false">IF(A85="","",H85-J85)</f>
        <v/>
      </c>
      <c r="L85" s="18" t="str">
        <f aca="false">IF(A85="","",SUMIFS('Time Log'!$D$5:$D$2000,'Time Log'!$B$5:$B$2000,A85))</f>
        <v/>
      </c>
      <c r="M85" s="15" t="str">
        <f aca="false">IF(OR(A85="",L85=0),"",H85/L85)</f>
        <v/>
      </c>
      <c r="N85" s="14"/>
      <c r="O85" s="14"/>
      <c r="P85" s="14"/>
      <c r="Q85" s="14"/>
      <c r="R85" s="14"/>
    </row>
    <row r="86" customFormat="false" ht="15" hidden="false" customHeight="false" outlineLevel="0" collapsed="false">
      <c r="A86" s="14"/>
      <c r="B86" s="14"/>
      <c r="C86" s="14"/>
      <c r="D86" s="14"/>
      <c r="E86" s="17"/>
      <c r="F86" s="17"/>
      <c r="G86" s="14"/>
      <c r="H86" s="13"/>
      <c r="I86" s="15" t="str">
        <f aca="false">IF(A86="","",H86*0.5)</f>
        <v/>
      </c>
      <c r="J86" s="15" t="str">
        <f aca="false">IF(A86="","",SUMIFS(Payments!$D$5:$D$2000,Payments!$B$5:$B$2000,A86))</f>
        <v/>
      </c>
      <c r="K86" s="15" t="str">
        <f aca="false">IF(A86="","",H86-J86)</f>
        <v/>
      </c>
      <c r="L86" s="18" t="str">
        <f aca="false">IF(A86="","",SUMIFS('Time Log'!$D$5:$D$2000,'Time Log'!$B$5:$B$2000,A86))</f>
        <v/>
      </c>
      <c r="M86" s="15" t="str">
        <f aca="false">IF(OR(A86="",L86=0),"",H86/L86)</f>
        <v/>
      </c>
      <c r="N86" s="14"/>
      <c r="O86" s="14"/>
      <c r="P86" s="14"/>
      <c r="Q86" s="14"/>
      <c r="R86" s="14"/>
    </row>
    <row r="87" customFormat="false" ht="15" hidden="false" customHeight="false" outlineLevel="0" collapsed="false">
      <c r="A87" s="14"/>
      <c r="B87" s="14"/>
      <c r="C87" s="14"/>
      <c r="D87" s="14"/>
      <c r="E87" s="17"/>
      <c r="F87" s="17"/>
      <c r="G87" s="14"/>
      <c r="H87" s="13"/>
      <c r="I87" s="15" t="str">
        <f aca="false">IF(A87="","",H87*0.5)</f>
        <v/>
      </c>
      <c r="J87" s="15" t="str">
        <f aca="false">IF(A87="","",SUMIFS(Payments!$D$5:$D$2000,Payments!$B$5:$B$2000,A87))</f>
        <v/>
      </c>
      <c r="K87" s="15" t="str">
        <f aca="false">IF(A87="","",H87-J87)</f>
        <v/>
      </c>
      <c r="L87" s="18" t="str">
        <f aca="false">IF(A87="","",SUMIFS('Time Log'!$D$5:$D$2000,'Time Log'!$B$5:$B$2000,A87))</f>
        <v/>
      </c>
      <c r="M87" s="15" t="str">
        <f aca="false">IF(OR(A87="",L87=0),"",H87/L87)</f>
        <v/>
      </c>
      <c r="N87" s="14"/>
      <c r="O87" s="14"/>
      <c r="P87" s="14"/>
      <c r="Q87" s="14"/>
      <c r="R87" s="14"/>
    </row>
    <row r="88" customFormat="false" ht="15" hidden="false" customHeight="false" outlineLevel="0" collapsed="false">
      <c r="A88" s="14"/>
      <c r="B88" s="14"/>
      <c r="C88" s="14"/>
      <c r="D88" s="14"/>
      <c r="E88" s="17"/>
      <c r="F88" s="17"/>
      <c r="G88" s="14"/>
      <c r="H88" s="13"/>
      <c r="I88" s="15" t="str">
        <f aca="false">IF(A88="","",H88*0.5)</f>
        <v/>
      </c>
      <c r="J88" s="15" t="str">
        <f aca="false">IF(A88="","",SUMIFS(Payments!$D$5:$D$2000,Payments!$B$5:$B$2000,A88))</f>
        <v/>
      </c>
      <c r="K88" s="15" t="str">
        <f aca="false">IF(A88="","",H88-J88)</f>
        <v/>
      </c>
      <c r="L88" s="18" t="str">
        <f aca="false">IF(A88="","",SUMIFS('Time Log'!$D$5:$D$2000,'Time Log'!$B$5:$B$2000,A88))</f>
        <v/>
      </c>
      <c r="M88" s="15" t="str">
        <f aca="false">IF(OR(A88="",L88=0),"",H88/L88)</f>
        <v/>
      </c>
      <c r="N88" s="14"/>
      <c r="O88" s="14"/>
      <c r="P88" s="14"/>
      <c r="Q88" s="14"/>
      <c r="R88" s="14"/>
    </row>
    <row r="89" customFormat="false" ht="15" hidden="false" customHeight="false" outlineLevel="0" collapsed="false">
      <c r="A89" s="14"/>
      <c r="B89" s="14"/>
      <c r="C89" s="14"/>
      <c r="D89" s="14"/>
      <c r="E89" s="17"/>
      <c r="F89" s="17"/>
      <c r="G89" s="14"/>
      <c r="H89" s="13"/>
      <c r="I89" s="15" t="str">
        <f aca="false">IF(A89="","",H89*0.5)</f>
        <v/>
      </c>
      <c r="J89" s="15" t="str">
        <f aca="false">IF(A89="","",SUMIFS(Payments!$D$5:$D$2000,Payments!$B$5:$B$2000,A89))</f>
        <v/>
      </c>
      <c r="K89" s="15" t="str">
        <f aca="false">IF(A89="","",H89-J89)</f>
        <v/>
      </c>
      <c r="L89" s="18" t="str">
        <f aca="false">IF(A89="","",SUMIFS('Time Log'!$D$5:$D$2000,'Time Log'!$B$5:$B$2000,A89))</f>
        <v/>
      </c>
      <c r="M89" s="15" t="str">
        <f aca="false">IF(OR(A89="",L89=0),"",H89/L89)</f>
        <v/>
      </c>
      <c r="N89" s="14"/>
      <c r="O89" s="14"/>
      <c r="P89" s="14"/>
      <c r="Q89" s="14"/>
      <c r="R89" s="14"/>
    </row>
    <row r="90" customFormat="false" ht="15" hidden="false" customHeight="false" outlineLevel="0" collapsed="false">
      <c r="A90" s="14"/>
      <c r="B90" s="14"/>
      <c r="C90" s="14"/>
      <c r="D90" s="14"/>
      <c r="E90" s="17"/>
      <c r="F90" s="17"/>
      <c r="G90" s="14"/>
      <c r="H90" s="13"/>
      <c r="I90" s="15" t="str">
        <f aca="false">IF(A90="","",H90*0.5)</f>
        <v/>
      </c>
      <c r="J90" s="15" t="str">
        <f aca="false">IF(A90="","",SUMIFS(Payments!$D$5:$D$2000,Payments!$B$5:$B$2000,A90))</f>
        <v/>
      </c>
      <c r="K90" s="15" t="str">
        <f aca="false">IF(A90="","",H90-J90)</f>
        <v/>
      </c>
      <c r="L90" s="18" t="str">
        <f aca="false">IF(A90="","",SUMIFS('Time Log'!$D$5:$D$2000,'Time Log'!$B$5:$B$2000,A90))</f>
        <v/>
      </c>
      <c r="M90" s="15" t="str">
        <f aca="false">IF(OR(A90="",L90=0),"",H90/L90)</f>
        <v/>
      </c>
      <c r="N90" s="14"/>
      <c r="O90" s="14"/>
      <c r="P90" s="14"/>
      <c r="Q90" s="14"/>
      <c r="R90" s="14"/>
    </row>
    <row r="91" customFormat="false" ht="15" hidden="false" customHeight="false" outlineLevel="0" collapsed="false">
      <c r="A91" s="14"/>
      <c r="B91" s="14"/>
      <c r="C91" s="14"/>
      <c r="D91" s="14"/>
      <c r="E91" s="17"/>
      <c r="F91" s="17"/>
      <c r="G91" s="14"/>
      <c r="H91" s="13"/>
      <c r="I91" s="15" t="str">
        <f aca="false">IF(A91="","",H91*0.5)</f>
        <v/>
      </c>
      <c r="J91" s="15" t="str">
        <f aca="false">IF(A91="","",SUMIFS(Payments!$D$5:$D$2000,Payments!$B$5:$B$2000,A91))</f>
        <v/>
      </c>
      <c r="K91" s="15" t="str">
        <f aca="false">IF(A91="","",H91-J91)</f>
        <v/>
      </c>
      <c r="L91" s="18" t="str">
        <f aca="false">IF(A91="","",SUMIFS('Time Log'!$D$5:$D$2000,'Time Log'!$B$5:$B$2000,A91))</f>
        <v/>
      </c>
      <c r="M91" s="15" t="str">
        <f aca="false">IF(OR(A91="",L91=0),"",H91/L91)</f>
        <v/>
      </c>
      <c r="N91" s="14"/>
      <c r="O91" s="14"/>
      <c r="P91" s="14"/>
      <c r="Q91" s="14"/>
      <c r="R91" s="14"/>
    </row>
    <row r="92" customFormat="false" ht="15" hidden="false" customHeight="false" outlineLevel="0" collapsed="false">
      <c r="A92" s="14"/>
      <c r="B92" s="14"/>
      <c r="C92" s="14"/>
      <c r="D92" s="14"/>
      <c r="E92" s="17"/>
      <c r="F92" s="17"/>
      <c r="G92" s="14"/>
      <c r="H92" s="13"/>
      <c r="I92" s="15" t="str">
        <f aca="false">IF(A92="","",H92*0.5)</f>
        <v/>
      </c>
      <c r="J92" s="15" t="str">
        <f aca="false">IF(A92="","",SUMIFS(Payments!$D$5:$D$2000,Payments!$B$5:$B$2000,A92))</f>
        <v/>
      </c>
      <c r="K92" s="15" t="str">
        <f aca="false">IF(A92="","",H92-J92)</f>
        <v/>
      </c>
      <c r="L92" s="18" t="str">
        <f aca="false">IF(A92="","",SUMIFS('Time Log'!$D$5:$D$2000,'Time Log'!$B$5:$B$2000,A92))</f>
        <v/>
      </c>
      <c r="M92" s="15" t="str">
        <f aca="false">IF(OR(A92="",L92=0),"",H92/L92)</f>
        <v/>
      </c>
      <c r="N92" s="14"/>
      <c r="O92" s="14"/>
      <c r="P92" s="14"/>
      <c r="Q92" s="14"/>
      <c r="R92" s="14"/>
    </row>
    <row r="93" customFormat="false" ht="15" hidden="false" customHeight="false" outlineLevel="0" collapsed="false">
      <c r="A93" s="14"/>
      <c r="B93" s="14"/>
      <c r="C93" s="14"/>
      <c r="D93" s="14"/>
      <c r="E93" s="17"/>
      <c r="F93" s="17"/>
      <c r="G93" s="14"/>
      <c r="H93" s="13"/>
      <c r="I93" s="15" t="str">
        <f aca="false">IF(A93="","",H93*0.5)</f>
        <v/>
      </c>
      <c r="J93" s="15" t="str">
        <f aca="false">IF(A93="","",SUMIFS(Payments!$D$5:$D$2000,Payments!$B$5:$B$2000,A93))</f>
        <v/>
      </c>
      <c r="K93" s="15" t="str">
        <f aca="false">IF(A93="","",H93-J93)</f>
        <v/>
      </c>
      <c r="L93" s="18" t="str">
        <f aca="false">IF(A93="","",SUMIFS('Time Log'!$D$5:$D$2000,'Time Log'!$B$5:$B$2000,A93))</f>
        <v/>
      </c>
      <c r="M93" s="15" t="str">
        <f aca="false">IF(OR(A93="",L93=0),"",H93/L93)</f>
        <v/>
      </c>
      <c r="N93" s="14"/>
      <c r="O93" s="14"/>
      <c r="P93" s="14"/>
      <c r="Q93" s="14"/>
      <c r="R93" s="14"/>
    </row>
    <row r="94" customFormat="false" ht="15" hidden="false" customHeight="false" outlineLevel="0" collapsed="false">
      <c r="A94" s="14"/>
      <c r="B94" s="14"/>
      <c r="C94" s="14"/>
      <c r="D94" s="14"/>
      <c r="E94" s="17"/>
      <c r="F94" s="17"/>
      <c r="G94" s="14"/>
      <c r="H94" s="13"/>
      <c r="I94" s="15" t="str">
        <f aca="false">IF(A94="","",H94*0.5)</f>
        <v/>
      </c>
      <c r="J94" s="15" t="str">
        <f aca="false">IF(A94="","",SUMIFS(Payments!$D$5:$D$2000,Payments!$B$5:$B$2000,A94))</f>
        <v/>
      </c>
      <c r="K94" s="15" t="str">
        <f aca="false">IF(A94="","",H94-J94)</f>
        <v/>
      </c>
      <c r="L94" s="18" t="str">
        <f aca="false">IF(A94="","",SUMIFS('Time Log'!$D$5:$D$2000,'Time Log'!$B$5:$B$2000,A94))</f>
        <v/>
      </c>
      <c r="M94" s="15" t="str">
        <f aca="false">IF(OR(A94="",L94=0),"",H94/L94)</f>
        <v/>
      </c>
      <c r="N94" s="14"/>
      <c r="O94" s="14"/>
      <c r="P94" s="14"/>
      <c r="Q94" s="14"/>
      <c r="R94" s="14"/>
    </row>
    <row r="95" customFormat="false" ht="15" hidden="false" customHeight="false" outlineLevel="0" collapsed="false">
      <c r="A95" s="14"/>
      <c r="B95" s="14"/>
      <c r="C95" s="14"/>
      <c r="D95" s="14"/>
      <c r="E95" s="17"/>
      <c r="F95" s="17"/>
      <c r="G95" s="14"/>
      <c r="H95" s="13"/>
      <c r="I95" s="15" t="str">
        <f aca="false">IF(A95="","",H95*0.5)</f>
        <v/>
      </c>
      <c r="J95" s="15" t="str">
        <f aca="false">IF(A95="","",SUMIFS(Payments!$D$5:$D$2000,Payments!$B$5:$B$2000,A95))</f>
        <v/>
      </c>
      <c r="K95" s="15" t="str">
        <f aca="false">IF(A95="","",H95-J95)</f>
        <v/>
      </c>
      <c r="L95" s="18" t="str">
        <f aca="false">IF(A95="","",SUMIFS('Time Log'!$D$5:$D$2000,'Time Log'!$B$5:$B$2000,A95))</f>
        <v/>
      </c>
      <c r="M95" s="15" t="str">
        <f aca="false">IF(OR(A95="",L95=0),"",H95/L95)</f>
        <v/>
      </c>
      <c r="N95" s="14"/>
      <c r="O95" s="14"/>
      <c r="P95" s="14"/>
      <c r="Q95" s="14"/>
      <c r="R95" s="14"/>
    </row>
    <row r="96" customFormat="false" ht="15" hidden="false" customHeight="false" outlineLevel="0" collapsed="false">
      <c r="A96" s="14"/>
      <c r="B96" s="14"/>
      <c r="C96" s="14"/>
      <c r="D96" s="14"/>
      <c r="E96" s="17"/>
      <c r="F96" s="17"/>
      <c r="G96" s="14"/>
      <c r="H96" s="13"/>
      <c r="I96" s="15" t="str">
        <f aca="false">IF(A96="","",H96*0.5)</f>
        <v/>
      </c>
      <c r="J96" s="15" t="str">
        <f aca="false">IF(A96="","",SUMIFS(Payments!$D$5:$D$2000,Payments!$B$5:$B$2000,A96))</f>
        <v/>
      </c>
      <c r="K96" s="15" t="str">
        <f aca="false">IF(A96="","",H96-J96)</f>
        <v/>
      </c>
      <c r="L96" s="18" t="str">
        <f aca="false">IF(A96="","",SUMIFS('Time Log'!$D$5:$D$2000,'Time Log'!$B$5:$B$2000,A96))</f>
        <v/>
      </c>
      <c r="M96" s="15" t="str">
        <f aca="false">IF(OR(A96="",L96=0),"",H96/L96)</f>
        <v/>
      </c>
      <c r="N96" s="14"/>
      <c r="O96" s="14"/>
      <c r="P96" s="14"/>
      <c r="Q96" s="14"/>
      <c r="R96" s="14"/>
    </row>
    <row r="97" customFormat="false" ht="15" hidden="false" customHeight="false" outlineLevel="0" collapsed="false">
      <c r="A97" s="14"/>
      <c r="B97" s="14"/>
      <c r="C97" s="14"/>
      <c r="D97" s="14"/>
      <c r="E97" s="17"/>
      <c r="F97" s="17"/>
      <c r="G97" s="14"/>
      <c r="H97" s="13"/>
      <c r="I97" s="15" t="str">
        <f aca="false">IF(A97="","",H97*0.5)</f>
        <v/>
      </c>
      <c r="J97" s="15" t="str">
        <f aca="false">IF(A97="","",SUMIFS(Payments!$D$5:$D$2000,Payments!$B$5:$B$2000,A97))</f>
        <v/>
      </c>
      <c r="K97" s="15" t="str">
        <f aca="false">IF(A97="","",H97-J97)</f>
        <v/>
      </c>
      <c r="L97" s="18" t="str">
        <f aca="false">IF(A97="","",SUMIFS('Time Log'!$D$5:$D$2000,'Time Log'!$B$5:$B$2000,A97))</f>
        <v/>
      </c>
      <c r="M97" s="15" t="str">
        <f aca="false">IF(OR(A97="",L97=0),"",H97/L97)</f>
        <v/>
      </c>
      <c r="N97" s="14"/>
      <c r="O97" s="14"/>
      <c r="P97" s="14"/>
      <c r="Q97" s="14"/>
      <c r="R97" s="14"/>
    </row>
    <row r="98" customFormat="false" ht="15" hidden="false" customHeight="false" outlineLevel="0" collapsed="false">
      <c r="A98" s="14"/>
      <c r="B98" s="14"/>
      <c r="C98" s="14"/>
      <c r="D98" s="14"/>
      <c r="E98" s="17"/>
      <c r="F98" s="17"/>
      <c r="G98" s="14"/>
      <c r="H98" s="13"/>
      <c r="I98" s="15" t="str">
        <f aca="false">IF(A98="","",H98*0.5)</f>
        <v/>
      </c>
      <c r="J98" s="15" t="str">
        <f aca="false">IF(A98="","",SUMIFS(Payments!$D$5:$D$2000,Payments!$B$5:$B$2000,A98))</f>
        <v/>
      </c>
      <c r="K98" s="15" t="str">
        <f aca="false">IF(A98="","",H98-J98)</f>
        <v/>
      </c>
      <c r="L98" s="18" t="str">
        <f aca="false">IF(A98="","",SUMIFS('Time Log'!$D$5:$D$2000,'Time Log'!$B$5:$B$2000,A98))</f>
        <v/>
      </c>
      <c r="M98" s="15" t="str">
        <f aca="false">IF(OR(A98="",L98=0),"",H98/L98)</f>
        <v/>
      </c>
      <c r="N98" s="14"/>
      <c r="O98" s="14"/>
      <c r="P98" s="14"/>
      <c r="Q98" s="14"/>
      <c r="R98" s="14"/>
    </row>
    <row r="99" customFormat="false" ht="15" hidden="false" customHeight="false" outlineLevel="0" collapsed="false">
      <c r="A99" s="14"/>
      <c r="B99" s="14"/>
      <c r="C99" s="14"/>
      <c r="D99" s="14"/>
      <c r="E99" s="17"/>
      <c r="F99" s="17"/>
      <c r="G99" s="14"/>
      <c r="H99" s="13"/>
      <c r="I99" s="15" t="str">
        <f aca="false">IF(A99="","",H99*0.5)</f>
        <v/>
      </c>
      <c r="J99" s="15" t="str">
        <f aca="false">IF(A99="","",SUMIFS(Payments!$D$5:$D$2000,Payments!$B$5:$B$2000,A99))</f>
        <v/>
      </c>
      <c r="K99" s="15" t="str">
        <f aca="false">IF(A99="","",H99-J99)</f>
        <v/>
      </c>
      <c r="L99" s="18" t="str">
        <f aca="false">IF(A99="","",SUMIFS('Time Log'!$D$5:$D$2000,'Time Log'!$B$5:$B$2000,A99))</f>
        <v/>
      </c>
      <c r="M99" s="15" t="str">
        <f aca="false">IF(OR(A99="",L99=0),"",H99/L99)</f>
        <v/>
      </c>
      <c r="N99" s="14"/>
      <c r="O99" s="14"/>
      <c r="P99" s="14"/>
      <c r="Q99" s="14"/>
      <c r="R99" s="14"/>
    </row>
    <row r="100" customFormat="false" ht="15" hidden="false" customHeight="false" outlineLevel="0" collapsed="false">
      <c r="A100" s="14"/>
      <c r="B100" s="14"/>
      <c r="C100" s="14"/>
      <c r="D100" s="14"/>
      <c r="E100" s="17"/>
      <c r="F100" s="17"/>
      <c r="G100" s="14"/>
      <c r="H100" s="13"/>
      <c r="I100" s="15" t="str">
        <f aca="false">IF(A100="","",H100*0.5)</f>
        <v/>
      </c>
      <c r="J100" s="15" t="str">
        <f aca="false">IF(A100="","",SUMIFS(Payments!$D$5:$D$2000,Payments!$B$5:$B$2000,A100))</f>
        <v/>
      </c>
      <c r="K100" s="15" t="str">
        <f aca="false">IF(A100="","",H100-J100)</f>
        <v/>
      </c>
      <c r="L100" s="18" t="str">
        <f aca="false">IF(A100="","",SUMIFS('Time Log'!$D$5:$D$2000,'Time Log'!$B$5:$B$2000,A100))</f>
        <v/>
      </c>
      <c r="M100" s="15" t="str">
        <f aca="false">IF(OR(A100="",L100=0),"",H100/L100)</f>
        <v/>
      </c>
      <c r="N100" s="14"/>
      <c r="O100" s="14"/>
      <c r="P100" s="14"/>
      <c r="Q100" s="14"/>
      <c r="R100" s="14"/>
    </row>
    <row r="101" customFormat="false" ht="15" hidden="false" customHeight="false" outlineLevel="0" collapsed="false">
      <c r="A101" s="14"/>
      <c r="B101" s="14"/>
      <c r="C101" s="14"/>
      <c r="D101" s="14"/>
      <c r="E101" s="17"/>
      <c r="F101" s="17"/>
      <c r="G101" s="14"/>
      <c r="H101" s="13"/>
      <c r="I101" s="15" t="str">
        <f aca="false">IF(A101="","",H101*0.5)</f>
        <v/>
      </c>
      <c r="J101" s="15" t="str">
        <f aca="false">IF(A101="","",SUMIFS(Payments!$D$5:$D$2000,Payments!$B$5:$B$2000,A101))</f>
        <v/>
      </c>
      <c r="K101" s="15" t="str">
        <f aca="false">IF(A101="","",H101-J101)</f>
        <v/>
      </c>
      <c r="L101" s="18" t="str">
        <f aca="false">IF(A101="","",SUMIFS('Time Log'!$D$5:$D$2000,'Time Log'!$B$5:$B$2000,A101))</f>
        <v/>
      </c>
      <c r="M101" s="15" t="str">
        <f aca="false">IF(OR(A101="",L101=0),"",H101/L101)</f>
        <v/>
      </c>
      <c r="N101" s="14"/>
      <c r="O101" s="14"/>
      <c r="P101" s="14"/>
      <c r="Q101" s="14"/>
      <c r="R101" s="14"/>
    </row>
    <row r="102" customFormat="false" ht="15" hidden="false" customHeight="false" outlineLevel="0" collapsed="false">
      <c r="A102" s="14"/>
      <c r="B102" s="14"/>
      <c r="C102" s="14"/>
      <c r="D102" s="14"/>
      <c r="E102" s="17"/>
      <c r="F102" s="17"/>
      <c r="G102" s="14"/>
      <c r="H102" s="13"/>
      <c r="I102" s="15" t="str">
        <f aca="false">IF(A102="","",H102*0.5)</f>
        <v/>
      </c>
      <c r="J102" s="15" t="str">
        <f aca="false">IF(A102="","",SUMIFS(Payments!$D$5:$D$2000,Payments!$B$5:$B$2000,A102))</f>
        <v/>
      </c>
      <c r="K102" s="15" t="str">
        <f aca="false">IF(A102="","",H102-J102)</f>
        <v/>
      </c>
      <c r="L102" s="18" t="str">
        <f aca="false">IF(A102="","",SUMIFS('Time Log'!$D$5:$D$2000,'Time Log'!$B$5:$B$2000,A102))</f>
        <v/>
      </c>
      <c r="M102" s="15" t="str">
        <f aca="false">IF(OR(A102="",L102=0),"",H102/L102)</f>
        <v/>
      </c>
      <c r="N102" s="14"/>
      <c r="O102" s="14"/>
      <c r="P102" s="14"/>
      <c r="Q102" s="14"/>
      <c r="R102" s="14"/>
    </row>
    <row r="103" customFormat="false" ht="15" hidden="false" customHeight="false" outlineLevel="0" collapsed="false">
      <c r="A103" s="14"/>
      <c r="B103" s="14"/>
      <c r="C103" s="14"/>
      <c r="D103" s="14"/>
      <c r="E103" s="17"/>
      <c r="F103" s="17"/>
      <c r="G103" s="14"/>
      <c r="H103" s="13"/>
      <c r="I103" s="15" t="str">
        <f aca="false">IF(A103="","",H103*0.5)</f>
        <v/>
      </c>
      <c r="J103" s="15" t="str">
        <f aca="false">IF(A103="","",SUMIFS(Payments!$D$5:$D$2000,Payments!$B$5:$B$2000,A103))</f>
        <v/>
      </c>
      <c r="K103" s="15" t="str">
        <f aca="false">IF(A103="","",H103-J103)</f>
        <v/>
      </c>
      <c r="L103" s="18" t="str">
        <f aca="false">IF(A103="","",SUMIFS('Time Log'!$D$5:$D$2000,'Time Log'!$B$5:$B$2000,A103))</f>
        <v/>
      </c>
      <c r="M103" s="15" t="str">
        <f aca="false">IF(OR(A103="",L103=0),"",H103/L103)</f>
        <v/>
      </c>
      <c r="N103" s="14"/>
      <c r="O103" s="14"/>
      <c r="P103" s="14"/>
      <c r="Q103" s="14"/>
      <c r="R103" s="14"/>
    </row>
    <row r="104" customFormat="false" ht="15" hidden="false" customHeight="false" outlineLevel="0" collapsed="false">
      <c r="A104" s="14"/>
      <c r="B104" s="14"/>
      <c r="C104" s="14"/>
      <c r="D104" s="14"/>
      <c r="E104" s="17"/>
      <c r="F104" s="17"/>
      <c r="G104" s="14"/>
      <c r="H104" s="13"/>
      <c r="I104" s="15" t="str">
        <f aca="false">IF(A104="","",H104*0.5)</f>
        <v/>
      </c>
      <c r="J104" s="15" t="str">
        <f aca="false">IF(A104="","",SUMIFS(Payments!$D$5:$D$2000,Payments!$B$5:$B$2000,A104))</f>
        <v/>
      </c>
      <c r="K104" s="15" t="str">
        <f aca="false">IF(A104="","",H104-J104)</f>
        <v/>
      </c>
      <c r="L104" s="18" t="str">
        <f aca="false">IF(A104="","",SUMIFS('Time Log'!$D$5:$D$2000,'Time Log'!$B$5:$B$2000,A104))</f>
        <v/>
      </c>
      <c r="M104" s="15" t="str">
        <f aca="false">IF(OR(A104="",L104=0),"",H104/L104)</f>
        <v/>
      </c>
      <c r="N104" s="14"/>
      <c r="O104" s="14"/>
      <c r="P104" s="14"/>
      <c r="Q104" s="14"/>
      <c r="R104" s="14"/>
    </row>
    <row r="105" customFormat="false" ht="15" hidden="false" customHeight="false" outlineLevel="0" collapsed="false">
      <c r="A105" s="14"/>
      <c r="B105" s="14"/>
      <c r="C105" s="14"/>
      <c r="D105" s="14"/>
      <c r="E105" s="17"/>
      <c r="F105" s="17"/>
      <c r="G105" s="14"/>
      <c r="H105" s="13"/>
      <c r="I105" s="15" t="str">
        <f aca="false">IF(A105="","",H105*0.5)</f>
        <v/>
      </c>
      <c r="J105" s="15" t="str">
        <f aca="false">IF(A105="","",SUMIFS(Payments!$D$5:$D$2000,Payments!$B$5:$B$2000,A105))</f>
        <v/>
      </c>
      <c r="K105" s="15" t="str">
        <f aca="false">IF(A105="","",H105-J105)</f>
        <v/>
      </c>
      <c r="L105" s="18" t="str">
        <f aca="false">IF(A105="","",SUMIFS('Time Log'!$D$5:$D$2000,'Time Log'!$B$5:$B$2000,A105))</f>
        <v/>
      </c>
      <c r="M105" s="15" t="str">
        <f aca="false">IF(OR(A105="",L105=0),"",H105/L105)</f>
        <v/>
      </c>
      <c r="N105" s="14"/>
      <c r="O105" s="14"/>
      <c r="P105" s="14"/>
      <c r="Q105" s="14"/>
      <c r="R105" s="14"/>
    </row>
    <row r="106" customFormat="false" ht="15" hidden="false" customHeight="false" outlineLevel="0" collapsed="false">
      <c r="A106" s="14"/>
      <c r="B106" s="14"/>
      <c r="C106" s="14"/>
      <c r="D106" s="14"/>
      <c r="E106" s="17"/>
      <c r="F106" s="17"/>
      <c r="G106" s="14"/>
      <c r="H106" s="13"/>
      <c r="I106" s="15" t="str">
        <f aca="false">IF(A106="","",H106*0.5)</f>
        <v/>
      </c>
      <c r="J106" s="15" t="str">
        <f aca="false">IF(A106="","",SUMIFS(Payments!$D$5:$D$2000,Payments!$B$5:$B$2000,A106))</f>
        <v/>
      </c>
      <c r="K106" s="15" t="str">
        <f aca="false">IF(A106="","",H106-J106)</f>
        <v/>
      </c>
      <c r="L106" s="18" t="str">
        <f aca="false">IF(A106="","",SUMIFS('Time Log'!$D$5:$D$2000,'Time Log'!$B$5:$B$2000,A106))</f>
        <v/>
      </c>
      <c r="M106" s="15" t="str">
        <f aca="false">IF(OR(A106="",L106=0),"",H106/L106)</f>
        <v/>
      </c>
      <c r="N106" s="14"/>
      <c r="O106" s="14"/>
      <c r="P106" s="14"/>
      <c r="Q106" s="14"/>
      <c r="R106" s="14"/>
    </row>
    <row r="107" customFormat="false" ht="15" hidden="false" customHeight="false" outlineLevel="0" collapsed="false">
      <c r="A107" s="14"/>
      <c r="B107" s="14"/>
      <c r="C107" s="14"/>
      <c r="D107" s="14"/>
      <c r="E107" s="17"/>
      <c r="F107" s="17"/>
      <c r="G107" s="14"/>
      <c r="H107" s="13"/>
      <c r="I107" s="15" t="str">
        <f aca="false">IF(A107="","",H107*0.5)</f>
        <v/>
      </c>
      <c r="J107" s="15" t="str">
        <f aca="false">IF(A107="","",SUMIFS(Payments!$D$5:$D$2000,Payments!$B$5:$B$2000,A107))</f>
        <v/>
      </c>
      <c r="K107" s="15" t="str">
        <f aca="false">IF(A107="","",H107-J107)</f>
        <v/>
      </c>
      <c r="L107" s="18" t="str">
        <f aca="false">IF(A107="","",SUMIFS('Time Log'!$D$5:$D$2000,'Time Log'!$B$5:$B$2000,A107))</f>
        <v/>
      </c>
      <c r="M107" s="15" t="str">
        <f aca="false">IF(OR(A107="",L107=0),"",H107/L107)</f>
        <v/>
      </c>
      <c r="N107" s="14"/>
      <c r="O107" s="14"/>
      <c r="P107" s="14"/>
      <c r="Q107" s="14"/>
      <c r="R107" s="14"/>
    </row>
    <row r="108" customFormat="false" ht="15" hidden="false" customHeight="false" outlineLevel="0" collapsed="false">
      <c r="A108" s="14"/>
      <c r="B108" s="14"/>
      <c r="C108" s="14"/>
      <c r="D108" s="14"/>
      <c r="E108" s="17"/>
      <c r="F108" s="17"/>
      <c r="G108" s="14"/>
      <c r="H108" s="13"/>
      <c r="I108" s="15" t="str">
        <f aca="false">IF(A108="","",H108*0.5)</f>
        <v/>
      </c>
      <c r="J108" s="15" t="str">
        <f aca="false">IF(A108="","",SUMIFS(Payments!$D$5:$D$2000,Payments!$B$5:$B$2000,A108))</f>
        <v/>
      </c>
      <c r="K108" s="15" t="str">
        <f aca="false">IF(A108="","",H108-J108)</f>
        <v/>
      </c>
      <c r="L108" s="18" t="str">
        <f aca="false">IF(A108="","",SUMIFS('Time Log'!$D$5:$D$2000,'Time Log'!$B$5:$B$2000,A108))</f>
        <v/>
      </c>
      <c r="M108" s="15" t="str">
        <f aca="false">IF(OR(A108="",L108=0),"",H108/L108)</f>
        <v/>
      </c>
      <c r="N108" s="14"/>
      <c r="O108" s="14"/>
      <c r="P108" s="14"/>
      <c r="Q108" s="14"/>
      <c r="R108" s="14"/>
    </row>
    <row r="109" customFormat="false" ht="15" hidden="false" customHeight="false" outlineLevel="0" collapsed="false">
      <c r="A109" s="14"/>
      <c r="B109" s="14"/>
      <c r="C109" s="14"/>
      <c r="D109" s="14"/>
      <c r="E109" s="17"/>
      <c r="F109" s="17"/>
      <c r="G109" s="14"/>
      <c r="H109" s="13"/>
      <c r="I109" s="15" t="str">
        <f aca="false">IF(A109="","",H109*0.5)</f>
        <v/>
      </c>
      <c r="J109" s="15" t="str">
        <f aca="false">IF(A109="","",SUMIFS(Payments!$D$5:$D$2000,Payments!$B$5:$B$2000,A109))</f>
        <v/>
      </c>
      <c r="K109" s="15" t="str">
        <f aca="false">IF(A109="","",H109-J109)</f>
        <v/>
      </c>
      <c r="L109" s="18" t="str">
        <f aca="false">IF(A109="","",SUMIFS('Time Log'!$D$5:$D$2000,'Time Log'!$B$5:$B$2000,A109))</f>
        <v/>
      </c>
      <c r="M109" s="15" t="str">
        <f aca="false">IF(OR(A109="",L109=0),"",H109/L109)</f>
        <v/>
      </c>
      <c r="N109" s="14"/>
      <c r="O109" s="14"/>
      <c r="P109" s="14"/>
      <c r="Q109" s="14"/>
      <c r="R109" s="14"/>
    </row>
    <row r="110" customFormat="false" ht="15" hidden="false" customHeight="false" outlineLevel="0" collapsed="false">
      <c r="A110" s="14"/>
      <c r="B110" s="14"/>
      <c r="C110" s="14"/>
      <c r="D110" s="14"/>
      <c r="E110" s="17"/>
      <c r="F110" s="17"/>
      <c r="G110" s="14"/>
      <c r="H110" s="13"/>
      <c r="I110" s="15" t="str">
        <f aca="false">IF(A110="","",H110*0.5)</f>
        <v/>
      </c>
      <c r="J110" s="15" t="str">
        <f aca="false">IF(A110="","",SUMIFS(Payments!$D$5:$D$2000,Payments!$B$5:$B$2000,A110))</f>
        <v/>
      </c>
      <c r="K110" s="15" t="str">
        <f aca="false">IF(A110="","",H110-J110)</f>
        <v/>
      </c>
      <c r="L110" s="18" t="str">
        <f aca="false">IF(A110="","",SUMIFS('Time Log'!$D$5:$D$2000,'Time Log'!$B$5:$B$2000,A110))</f>
        <v/>
      </c>
      <c r="M110" s="15" t="str">
        <f aca="false">IF(OR(A110="",L110=0),"",H110/L110)</f>
        <v/>
      </c>
      <c r="N110" s="14"/>
      <c r="O110" s="14"/>
      <c r="P110" s="14"/>
      <c r="Q110" s="14"/>
      <c r="R110" s="14"/>
    </row>
    <row r="111" customFormat="false" ht="15" hidden="false" customHeight="false" outlineLevel="0" collapsed="false">
      <c r="A111" s="14"/>
      <c r="B111" s="14"/>
      <c r="C111" s="14"/>
      <c r="D111" s="14"/>
      <c r="E111" s="17"/>
      <c r="F111" s="17"/>
      <c r="G111" s="14"/>
      <c r="H111" s="13"/>
      <c r="I111" s="15" t="str">
        <f aca="false">IF(A111="","",H111*0.5)</f>
        <v/>
      </c>
      <c r="J111" s="15" t="str">
        <f aca="false">IF(A111="","",SUMIFS(Payments!$D$5:$D$2000,Payments!$B$5:$B$2000,A111))</f>
        <v/>
      </c>
      <c r="K111" s="15" t="str">
        <f aca="false">IF(A111="","",H111-J111)</f>
        <v/>
      </c>
      <c r="L111" s="18" t="str">
        <f aca="false">IF(A111="","",SUMIFS('Time Log'!$D$5:$D$2000,'Time Log'!$B$5:$B$2000,A111))</f>
        <v/>
      </c>
      <c r="M111" s="15" t="str">
        <f aca="false">IF(OR(A111="",L111=0),"",H111/L111)</f>
        <v/>
      </c>
      <c r="N111" s="14"/>
      <c r="O111" s="14"/>
      <c r="P111" s="14"/>
      <c r="Q111" s="14"/>
      <c r="R111" s="14"/>
    </row>
    <row r="112" customFormat="false" ht="15" hidden="false" customHeight="false" outlineLevel="0" collapsed="false">
      <c r="A112" s="14"/>
      <c r="B112" s="14"/>
      <c r="C112" s="14"/>
      <c r="D112" s="14"/>
      <c r="E112" s="17"/>
      <c r="F112" s="17"/>
      <c r="G112" s="14"/>
      <c r="H112" s="13"/>
      <c r="I112" s="15" t="str">
        <f aca="false">IF(A112="","",H112*0.5)</f>
        <v/>
      </c>
      <c r="J112" s="15" t="str">
        <f aca="false">IF(A112="","",SUMIFS(Payments!$D$5:$D$2000,Payments!$B$5:$B$2000,A112))</f>
        <v/>
      </c>
      <c r="K112" s="15" t="str">
        <f aca="false">IF(A112="","",H112-J112)</f>
        <v/>
      </c>
      <c r="L112" s="18" t="str">
        <f aca="false">IF(A112="","",SUMIFS('Time Log'!$D$5:$D$2000,'Time Log'!$B$5:$B$2000,A112))</f>
        <v/>
      </c>
      <c r="M112" s="15" t="str">
        <f aca="false">IF(OR(A112="",L112=0),"",H112/L112)</f>
        <v/>
      </c>
      <c r="N112" s="14"/>
      <c r="O112" s="14"/>
      <c r="P112" s="14"/>
      <c r="Q112" s="14"/>
      <c r="R112" s="14"/>
    </row>
    <row r="113" customFormat="false" ht="15" hidden="false" customHeight="false" outlineLevel="0" collapsed="false">
      <c r="A113" s="14"/>
      <c r="B113" s="14"/>
      <c r="C113" s="14"/>
      <c r="D113" s="14"/>
      <c r="E113" s="17"/>
      <c r="F113" s="17"/>
      <c r="G113" s="14"/>
      <c r="H113" s="13"/>
      <c r="I113" s="15" t="str">
        <f aca="false">IF(A113="","",H113*0.5)</f>
        <v/>
      </c>
      <c r="J113" s="15" t="str">
        <f aca="false">IF(A113="","",SUMIFS(Payments!$D$5:$D$2000,Payments!$B$5:$B$2000,A113))</f>
        <v/>
      </c>
      <c r="K113" s="15" t="str">
        <f aca="false">IF(A113="","",H113-J113)</f>
        <v/>
      </c>
      <c r="L113" s="18" t="str">
        <f aca="false">IF(A113="","",SUMIFS('Time Log'!$D$5:$D$2000,'Time Log'!$B$5:$B$2000,A113))</f>
        <v/>
      </c>
      <c r="M113" s="15" t="str">
        <f aca="false">IF(OR(A113="",L113=0),"",H113/L113)</f>
        <v/>
      </c>
      <c r="N113" s="14"/>
      <c r="O113" s="14"/>
      <c r="P113" s="14"/>
      <c r="Q113" s="14"/>
      <c r="R113" s="14"/>
    </row>
    <row r="114" customFormat="false" ht="15" hidden="false" customHeight="false" outlineLevel="0" collapsed="false">
      <c r="A114" s="14"/>
      <c r="B114" s="14"/>
      <c r="C114" s="14"/>
      <c r="D114" s="14"/>
      <c r="E114" s="17"/>
      <c r="F114" s="17"/>
      <c r="G114" s="14"/>
      <c r="H114" s="13"/>
      <c r="I114" s="15" t="str">
        <f aca="false">IF(A114="","",H114*0.5)</f>
        <v/>
      </c>
      <c r="J114" s="15" t="str">
        <f aca="false">IF(A114="","",SUMIFS(Payments!$D$5:$D$2000,Payments!$B$5:$B$2000,A114))</f>
        <v/>
      </c>
      <c r="K114" s="15" t="str">
        <f aca="false">IF(A114="","",H114-J114)</f>
        <v/>
      </c>
      <c r="L114" s="18" t="str">
        <f aca="false">IF(A114="","",SUMIFS('Time Log'!$D$5:$D$2000,'Time Log'!$B$5:$B$2000,A114))</f>
        <v/>
      </c>
      <c r="M114" s="15" t="str">
        <f aca="false">IF(OR(A114="",L114=0),"",H114/L114)</f>
        <v/>
      </c>
      <c r="N114" s="14"/>
      <c r="O114" s="14"/>
      <c r="P114" s="14"/>
      <c r="Q114" s="14"/>
      <c r="R114" s="14"/>
    </row>
    <row r="115" customFormat="false" ht="15" hidden="false" customHeight="false" outlineLevel="0" collapsed="false">
      <c r="A115" s="14"/>
      <c r="B115" s="14"/>
      <c r="C115" s="14"/>
      <c r="D115" s="14"/>
      <c r="E115" s="17"/>
      <c r="F115" s="17"/>
      <c r="G115" s="14"/>
      <c r="H115" s="13"/>
      <c r="I115" s="15" t="str">
        <f aca="false">IF(A115="","",H115*0.5)</f>
        <v/>
      </c>
      <c r="J115" s="15" t="str">
        <f aca="false">IF(A115="","",SUMIFS(Payments!$D$5:$D$2000,Payments!$B$5:$B$2000,A115))</f>
        <v/>
      </c>
      <c r="K115" s="15" t="str">
        <f aca="false">IF(A115="","",H115-J115)</f>
        <v/>
      </c>
      <c r="L115" s="18" t="str">
        <f aca="false">IF(A115="","",SUMIFS('Time Log'!$D$5:$D$2000,'Time Log'!$B$5:$B$2000,A115))</f>
        <v/>
      </c>
      <c r="M115" s="15" t="str">
        <f aca="false">IF(OR(A115="",L115=0),"",H115/L115)</f>
        <v/>
      </c>
      <c r="N115" s="14"/>
      <c r="O115" s="14"/>
      <c r="P115" s="14"/>
      <c r="Q115" s="14"/>
      <c r="R115" s="14"/>
    </row>
    <row r="116" customFormat="false" ht="15" hidden="false" customHeight="false" outlineLevel="0" collapsed="false">
      <c r="A116" s="14"/>
      <c r="B116" s="14"/>
      <c r="C116" s="14"/>
      <c r="D116" s="14"/>
      <c r="E116" s="17"/>
      <c r="F116" s="17"/>
      <c r="G116" s="14"/>
      <c r="H116" s="13"/>
      <c r="I116" s="15" t="str">
        <f aca="false">IF(A116="","",H116*0.5)</f>
        <v/>
      </c>
      <c r="J116" s="15" t="str">
        <f aca="false">IF(A116="","",SUMIFS(Payments!$D$5:$D$2000,Payments!$B$5:$B$2000,A116))</f>
        <v/>
      </c>
      <c r="K116" s="15" t="str">
        <f aca="false">IF(A116="","",H116-J116)</f>
        <v/>
      </c>
      <c r="L116" s="18" t="str">
        <f aca="false">IF(A116="","",SUMIFS('Time Log'!$D$5:$D$2000,'Time Log'!$B$5:$B$2000,A116))</f>
        <v/>
      </c>
      <c r="M116" s="15" t="str">
        <f aca="false">IF(OR(A116="",L116=0),"",H116/L116)</f>
        <v/>
      </c>
      <c r="N116" s="14"/>
      <c r="O116" s="14"/>
      <c r="P116" s="14"/>
      <c r="Q116" s="14"/>
      <c r="R116" s="14"/>
    </row>
    <row r="117" customFormat="false" ht="15" hidden="false" customHeight="false" outlineLevel="0" collapsed="false">
      <c r="A117" s="14"/>
      <c r="B117" s="14"/>
      <c r="C117" s="14"/>
      <c r="D117" s="14"/>
      <c r="E117" s="17"/>
      <c r="F117" s="17"/>
      <c r="G117" s="14"/>
      <c r="H117" s="13"/>
      <c r="I117" s="15" t="str">
        <f aca="false">IF(A117="","",H117*0.5)</f>
        <v/>
      </c>
      <c r="J117" s="15" t="str">
        <f aca="false">IF(A117="","",SUMIFS(Payments!$D$5:$D$2000,Payments!$B$5:$B$2000,A117))</f>
        <v/>
      </c>
      <c r="K117" s="15" t="str">
        <f aca="false">IF(A117="","",H117-J117)</f>
        <v/>
      </c>
      <c r="L117" s="18" t="str">
        <f aca="false">IF(A117="","",SUMIFS('Time Log'!$D$5:$D$2000,'Time Log'!$B$5:$B$2000,A117))</f>
        <v/>
      </c>
      <c r="M117" s="15" t="str">
        <f aca="false">IF(OR(A117="",L117=0),"",H117/L117)</f>
        <v/>
      </c>
      <c r="N117" s="14"/>
      <c r="O117" s="14"/>
      <c r="P117" s="14"/>
      <c r="Q117" s="14"/>
      <c r="R117" s="14"/>
    </row>
    <row r="118" customFormat="false" ht="15" hidden="false" customHeight="false" outlineLevel="0" collapsed="false">
      <c r="A118" s="14"/>
      <c r="B118" s="14"/>
      <c r="C118" s="14"/>
      <c r="D118" s="14"/>
      <c r="E118" s="17"/>
      <c r="F118" s="17"/>
      <c r="G118" s="14"/>
      <c r="H118" s="13"/>
      <c r="I118" s="15" t="str">
        <f aca="false">IF(A118="","",H118*0.5)</f>
        <v/>
      </c>
      <c r="J118" s="15" t="str">
        <f aca="false">IF(A118="","",SUMIFS(Payments!$D$5:$D$2000,Payments!$B$5:$B$2000,A118))</f>
        <v/>
      </c>
      <c r="K118" s="15" t="str">
        <f aca="false">IF(A118="","",H118-J118)</f>
        <v/>
      </c>
      <c r="L118" s="18" t="str">
        <f aca="false">IF(A118="","",SUMIFS('Time Log'!$D$5:$D$2000,'Time Log'!$B$5:$B$2000,A118))</f>
        <v/>
      </c>
      <c r="M118" s="15" t="str">
        <f aca="false">IF(OR(A118="",L118=0),"",H118/L118)</f>
        <v/>
      </c>
      <c r="N118" s="14"/>
      <c r="O118" s="14"/>
      <c r="P118" s="14"/>
      <c r="Q118" s="14"/>
      <c r="R118" s="14"/>
    </row>
    <row r="119" customFormat="false" ht="15" hidden="false" customHeight="false" outlineLevel="0" collapsed="false">
      <c r="A119" s="14"/>
      <c r="B119" s="14"/>
      <c r="C119" s="14"/>
      <c r="D119" s="14"/>
      <c r="E119" s="17"/>
      <c r="F119" s="17"/>
      <c r="G119" s="14"/>
      <c r="H119" s="13"/>
      <c r="I119" s="15" t="str">
        <f aca="false">IF(A119="","",H119*0.5)</f>
        <v/>
      </c>
      <c r="J119" s="15" t="str">
        <f aca="false">IF(A119="","",SUMIFS(Payments!$D$5:$D$2000,Payments!$B$5:$B$2000,A119))</f>
        <v/>
      </c>
      <c r="K119" s="15" t="str">
        <f aca="false">IF(A119="","",H119-J119)</f>
        <v/>
      </c>
      <c r="L119" s="18" t="str">
        <f aca="false">IF(A119="","",SUMIFS('Time Log'!$D$5:$D$2000,'Time Log'!$B$5:$B$2000,A119))</f>
        <v/>
      </c>
      <c r="M119" s="15" t="str">
        <f aca="false">IF(OR(A119="",L119=0),"",H119/L119)</f>
        <v/>
      </c>
      <c r="N119" s="14"/>
      <c r="O119" s="14"/>
      <c r="P119" s="14"/>
      <c r="Q119" s="14"/>
      <c r="R119" s="14"/>
    </row>
    <row r="120" customFormat="false" ht="15" hidden="false" customHeight="false" outlineLevel="0" collapsed="false">
      <c r="A120" s="14"/>
      <c r="B120" s="14"/>
      <c r="C120" s="14"/>
      <c r="D120" s="14"/>
      <c r="E120" s="17"/>
      <c r="F120" s="17"/>
      <c r="G120" s="14"/>
      <c r="H120" s="13"/>
      <c r="I120" s="15" t="str">
        <f aca="false">IF(A120="","",H120*0.5)</f>
        <v/>
      </c>
      <c r="J120" s="15" t="str">
        <f aca="false">IF(A120="","",SUMIFS(Payments!$D$5:$D$2000,Payments!$B$5:$B$2000,A120))</f>
        <v/>
      </c>
      <c r="K120" s="15" t="str">
        <f aca="false">IF(A120="","",H120-J120)</f>
        <v/>
      </c>
      <c r="L120" s="18" t="str">
        <f aca="false">IF(A120="","",SUMIFS('Time Log'!$D$5:$D$2000,'Time Log'!$B$5:$B$2000,A120))</f>
        <v/>
      </c>
      <c r="M120" s="15" t="str">
        <f aca="false">IF(OR(A120="",L120=0),"",H120/L120)</f>
        <v/>
      </c>
      <c r="N120" s="14"/>
      <c r="O120" s="14"/>
      <c r="P120" s="14"/>
      <c r="Q120" s="14"/>
      <c r="R120" s="14"/>
    </row>
    <row r="121" customFormat="false" ht="15" hidden="false" customHeight="false" outlineLevel="0" collapsed="false">
      <c r="A121" s="14"/>
      <c r="B121" s="14"/>
      <c r="C121" s="14"/>
      <c r="D121" s="14"/>
      <c r="E121" s="17"/>
      <c r="F121" s="17"/>
      <c r="G121" s="14"/>
      <c r="H121" s="13"/>
      <c r="I121" s="15" t="str">
        <f aca="false">IF(A121="","",H121*0.5)</f>
        <v/>
      </c>
      <c r="J121" s="15" t="str">
        <f aca="false">IF(A121="","",SUMIFS(Payments!$D$5:$D$2000,Payments!$B$5:$B$2000,A121))</f>
        <v/>
      </c>
      <c r="K121" s="15" t="str">
        <f aca="false">IF(A121="","",H121-J121)</f>
        <v/>
      </c>
      <c r="L121" s="18" t="str">
        <f aca="false">IF(A121="","",SUMIFS('Time Log'!$D$5:$D$2000,'Time Log'!$B$5:$B$2000,A121))</f>
        <v/>
      </c>
      <c r="M121" s="15" t="str">
        <f aca="false">IF(OR(A121="",L121=0),"",H121/L121)</f>
        <v/>
      </c>
      <c r="N121" s="14"/>
      <c r="O121" s="14"/>
      <c r="P121" s="14"/>
      <c r="Q121" s="14"/>
      <c r="R121" s="14"/>
    </row>
    <row r="122" customFormat="false" ht="15" hidden="false" customHeight="false" outlineLevel="0" collapsed="false">
      <c r="A122" s="14"/>
      <c r="B122" s="14"/>
      <c r="C122" s="14"/>
      <c r="D122" s="14"/>
      <c r="E122" s="17"/>
      <c r="F122" s="17"/>
      <c r="G122" s="14"/>
      <c r="H122" s="13"/>
      <c r="I122" s="15" t="str">
        <f aca="false">IF(A122="","",H122*0.5)</f>
        <v/>
      </c>
      <c r="J122" s="15" t="str">
        <f aca="false">IF(A122="","",SUMIFS(Payments!$D$5:$D$2000,Payments!$B$5:$B$2000,A122))</f>
        <v/>
      </c>
      <c r="K122" s="15" t="str">
        <f aca="false">IF(A122="","",H122-J122)</f>
        <v/>
      </c>
      <c r="L122" s="18" t="str">
        <f aca="false">IF(A122="","",SUMIFS('Time Log'!$D$5:$D$2000,'Time Log'!$B$5:$B$2000,A122))</f>
        <v/>
      </c>
      <c r="M122" s="15" t="str">
        <f aca="false">IF(OR(A122="",L122=0),"",H122/L122)</f>
        <v/>
      </c>
      <c r="N122" s="14"/>
      <c r="O122" s="14"/>
      <c r="P122" s="14"/>
      <c r="Q122" s="14"/>
      <c r="R122" s="14"/>
    </row>
    <row r="123" customFormat="false" ht="15" hidden="false" customHeight="false" outlineLevel="0" collapsed="false">
      <c r="A123" s="14"/>
      <c r="B123" s="14"/>
      <c r="C123" s="14"/>
      <c r="D123" s="14"/>
      <c r="E123" s="17"/>
      <c r="F123" s="17"/>
      <c r="G123" s="14"/>
      <c r="H123" s="13"/>
      <c r="I123" s="15" t="str">
        <f aca="false">IF(A123="","",H123*0.5)</f>
        <v/>
      </c>
      <c r="J123" s="15" t="str">
        <f aca="false">IF(A123="","",SUMIFS(Payments!$D$5:$D$2000,Payments!$B$5:$B$2000,A123))</f>
        <v/>
      </c>
      <c r="K123" s="15" t="str">
        <f aca="false">IF(A123="","",H123-J123)</f>
        <v/>
      </c>
      <c r="L123" s="18" t="str">
        <f aca="false">IF(A123="","",SUMIFS('Time Log'!$D$5:$D$2000,'Time Log'!$B$5:$B$2000,A123))</f>
        <v/>
      </c>
      <c r="M123" s="15" t="str">
        <f aca="false">IF(OR(A123="",L123=0),"",H123/L123)</f>
        <v/>
      </c>
      <c r="N123" s="14"/>
      <c r="O123" s="14"/>
      <c r="P123" s="14"/>
      <c r="Q123" s="14"/>
      <c r="R123" s="14"/>
    </row>
    <row r="124" customFormat="false" ht="15" hidden="false" customHeight="false" outlineLevel="0" collapsed="false">
      <c r="A124" s="14"/>
      <c r="B124" s="14"/>
      <c r="C124" s="14"/>
      <c r="D124" s="14"/>
      <c r="E124" s="17"/>
      <c r="F124" s="17"/>
      <c r="G124" s="14"/>
      <c r="H124" s="13"/>
      <c r="I124" s="15" t="str">
        <f aca="false">IF(A124="","",H124*0.5)</f>
        <v/>
      </c>
      <c r="J124" s="15" t="str">
        <f aca="false">IF(A124="","",SUMIFS(Payments!$D$5:$D$2000,Payments!$B$5:$B$2000,A124))</f>
        <v/>
      </c>
      <c r="K124" s="15" t="str">
        <f aca="false">IF(A124="","",H124-J124)</f>
        <v/>
      </c>
      <c r="L124" s="18" t="str">
        <f aca="false">IF(A124="","",SUMIFS('Time Log'!$D$5:$D$2000,'Time Log'!$B$5:$B$2000,A124))</f>
        <v/>
      </c>
      <c r="M124" s="15" t="str">
        <f aca="false">IF(OR(A124="",L124=0),"",H124/L124)</f>
        <v/>
      </c>
      <c r="N124" s="14"/>
      <c r="O124" s="14"/>
      <c r="P124" s="14"/>
      <c r="Q124" s="14"/>
      <c r="R124" s="14"/>
    </row>
    <row r="125" customFormat="false" ht="15" hidden="false" customHeight="false" outlineLevel="0" collapsed="false">
      <c r="A125" s="14"/>
      <c r="B125" s="14"/>
      <c r="C125" s="14"/>
      <c r="D125" s="14"/>
      <c r="E125" s="17"/>
      <c r="F125" s="17"/>
      <c r="G125" s="14"/>
      <c r="H125" s="13"/>
      <c r="I125" s="15" t="str">
        <f aca="false">IF(A125="","",H125*0.5)</f>
        <v/>
      </c>
      <c r="J125" s="15" t="str">
        <f aca="false">IF(A125="","",SUMIFS(Payments!$D$5:$D$2000,Payments!$B$5:$B$2000,A125))</f>
        <v/>
      </c>
      <c r="K125" s="15" t="str">
        <f aca="false">IF(A125="","",H125-J125)</f>
        <v/>
      </c>
      <c r="L125" s="18" t="str">
        <f aca="false">IF(A125="","",SUMIFS('Time Log'!$D$5:$D$2000,'Time Log'!$B$5:$B$2000,A125))</f>
        <v/>
      </c>
      <c r="M125" s="15" t="str">
        <f aca="false">IF(OR(A125="",L125=0),"",H125/L125)</f>
        <v/>
      </c>
      <c r="N125" s="14"/>
      <c r="O125" s="14"/>
      <c r="P125" s="14"/>
      <c r="Q125" s="14"/>
      <c r="R125" s="14"/>
    </row>
    <row r="126" customFormat="false" ht="15" hidden="false" customHeight="false" outlineLevel="0" collapsed="false">
      <c r="A126" s="14"/>
      <c r="B126" s="14"/>
      <c r="C126" s="14"/>
      <c r="D126" s="14"/>
      <c r="E126" s="17"/>
      <c r="F126" s="17"/>
      <c r="G126" s="14"/>
      <c r="H126" s="13"/>
      <c r="I126" s="15" t="str">
        <f aca="false">IF(A126="","",H126*0.5)</f>
        <v/>
      </c>
      <c r="J126" s="15" t="str">
        <f aca="false">IF(A126="","",SUMIFS(Payments!$D$5:$D$2000,Payments!$B$5:$B$2000,A126))</f>
        <v/>
      </c>
      <c r="K126" s="15" t="str">
        <f aca="false">IF(A126="","",H126-J126)</f>
        <v/>
      </c>
      <c r="L126" s="18" t="str">
        <f aca="false">IF(A126="","",SUMIFS('Time Log'!$D$5:$D$2000,'Time Log'!$B$5:$B$2000,A126))</f>
        <v/>
      </c>
      <c r="M126" s="15" t="str">
        <f aca="false">IF(OR(A126="",L126=0),"",H126/L126)</f>
        <v/>
      </c>
      <c r="N126" s="14"/>
      <c r="O126" s="14"/>
      <c r="P126" s="14"/>
      <c r="Q126" s="14"/>
      <c r="R126" s="14"/>
    </row>
    <row r="127" customFormat="false" ht="15" hidden="false" customHeight="false" outlineLevel="0" collapsed="false">
      <c r="A127" s="14"/>
      <c r="B127" s="14"/>
      <c r="C127" s="14"/>
      <c r="D127" s="14"/>
      <c r="E127" s="17"/>
      <c r="F127" s="17"/>
      <c r="G127" s="14"/>
      <c r="H127" s="13"/>
      <c r="I127" s="15" t="str">
        <f aca="false">IF(A127="","",H127*0.5)</f>
        <v/>
      </c>
      <c r="J127" s="15" t="str">
        <f aca="false">IF(A127="","",SUMIFS(Payments!$D$5:$D$2000,Payments!$B$5:$B$2000,A127))</f>
        <v/>
      </c>
      <c r="K127" s="15" t="str">
        <f aca="false">IF(A127="","",H127-J127)</f>
        <v/>
      </c>
      <c r="L127" s="18" t="str">
        <f aca="false">IF(A127="","",SUMIFS('Time Log'!$D$5:$D$2000,'Time Log'!$B$5:$B$2000,A127))</f>
        <v/>
      </c>
      <c r="M127" s="15" t="str">
        <f aca="false">IF(OR(A127="",L127=0),"",H127/L127)</f>
        <v/>
      </c>
      <c r="N127" s="14"/>
      <c r="O127" s="14"/>
      <c r="P127" s="14"/>
      <c r="Q127" s="14"/>
      <c r="R127" s="14"/>
    </row>
    <row r="128" customFormat="false" ht="15" hidden="false" customHeight="false" outlineLevel="0" collapsed="false">
      <c r="A128" s="14"/>
      <c r="B128" s="14"/>
      <c r="C128" s="14"/>
      <c r="D128" s="14"/>
      <c r="E128" s="17"/>
      <c r="F128" s="17"/>
      <c r="G128" s="14"/>
      <c r="H128" s="13"/>
      <c r="I128" s="15" t="str">
        <f aca="false">IF(A128="","",H128*0.5)</f>
        <v/>
      </c>
      <c r="J128" s="15" t="str">
        <f aca="false">IF(A128="","",SUMIFS(Payments!$D$5:$D$2000,Payments!$B$5:$B$2000,A128))</f>
        <v/>
      </c>
      <c r="K128" s="15" t="str">
        <f aca="false">IF(A128="","",H128-J128)</f>
        <v/>
      </c>
      <c r="L128" s="18" t="str">
        <f aca="false">IF(A128="","",SUMIFS('Time Log'!$D$5:$D$2000,'Time Log'!$B$5:$B$2000,A128))</f>
        <v/>
      </c>
      <c r="M128" s="15" t="str">
        <f aca="false">IF(OR(A128="",L128=0),"",H128/L128)</f>
        <v/>
      </c>
      <c r="N128" s="14"/>
      <c r="O128" s="14"/>
      <c r="P128" s="14"/>
      <c r="Q128" s="14"/>
      <c r="R128" s="14"/>
    </row>
    <row r="129" customFormat="false" ht="15" hidden="false" customHeight="false" outlineLevel="0" collapsed="false">
      <c r="A129" s="14"/>
      <c r="B129" s="14"/>
      <c r="C129" s="14"/>
      <c r="D129" s="14"/>
      <c r="E129" s="17"/>
      <c r="F129" s="17"/>
      <c r="G129" s="14"/>
      <c r="H129" s="13"/>
      <c r="I129" s="15" t="str">
        <f aca="false">IF(A129="","",H129*0.5)</f>
        <v/>
      </c>
      <c r="J129" s="15" t="str">
        <f aca="false">IF(A129="","",SUMIFS(Payments!$D$5:$D$2000,Payments!$B$5:$B$2000,A129))</f>
        <v/>
      </c>
      <c r="K129" s="15" t="str">
        <f aca="false">IF(A129="","",H129-J129)</f>
        <v/>
      </c>
      <c r="L129" s="18" t="str">
        <f aca="false">IF(A129="","",SUMIFS('Time Log'!$D$5:$D$2000,'Time Log'!$B$5:$B$2000,A129))</f>
        <v/>
      </c>
      <c r="M129" s="15" t="str">
        <f aca="false">IF(OR(A129="",L129=0),"",H129/L129)</f>
        <v/>
      </c>
      <c r="N129" s="14"/>
      <c r="O129" s="14"/>
      <c r="P129" s="14"/>
      <c r="Q129" s="14"/>
      <c r="R129" s="14"/>
    </row>
    <row r="130" customFormat="false" ht="15" hidden="false" customHeight="false" outlineLevel="0" collapsed="false">
      <c r="A130" s="14"/>
      <c r="B130" s="14"/>
      <c r="C130" s="14"/>
      <c r="D130" s="14"/>
      <c r="E130" s="17"/>
      <c r="F130" s="17"/>
      <c r="G130" s="14"/>
      <c r="H130" s="13"/>
      <c r="I130" s="15" t="str">
        <f aca="false">IF(A130="","",H130*0.5)</f>
        <v/>
      </c>
      <c r="J130" s="15" t="str">
        <f aca="false">IF(A130="","",SUMIFS(Payments!$D$5:$D$2000,Payments!$B$5:$B$2000,A130))</f>
        <v/>
      </c>
      <c r="K130" s="15" t="str">
        <f aca="false">IF(A130="","",H130-J130)</f>
        <v/>
      </c>
      <c r="L130" s="18" t="str">
        <f aca="false">IF(A130="","",SUMIFS('Time Log'!$D$5:$D$2000,'Time Log'!$B$5:$B$2000,A130))</f>
        <v/>
      </c>
      <c r="M130" s="15" t="str">
        <f aca="false">IF(OR(A130="",L130=0),"",H130/L130)</f>
        <v/>
      </c>
      <c r="N130" s="14"/>
      <c r="O130" s="14"/>
      <c r="P130" s="14"/>
      <c r="Q130" s="14"/>
      <c r="R130" s="14"/>
    </row>
    <row r="131" customFormat="false" ht="15" hidden="false" customHeight="false" outlineLevel="0" collapsed="false">
      <c r="A131" s="14"/>
      <c r="B131" s="14"/>
      <c r="C131" s="14"/>
      <c r="D131" s="14"/>
      <c r="E131" s="17"/>
      <c r="F131" s="17"/>
      <c r="G131" s="14"/>
      <c r="H131" s="13"/>
      <c r="I131" s="15" t="str">
        <f aca="false">IF(A131="","",H131*0.5)</f>
        <v/>
      </c>
      <c r="J131" s="15" t="str">
        <f aca="false">IF(A131="","",SUMIFS(Payments!$D$5:$D$2000,Payments!$B$5:$B$2000,A131))</f>
        <v/>
      </c>
      <c r="K131" s="15" t="str">
        <f aca="false">IF(A131="","",H131-J131)</f>
        <v/>
      </c>
      <c r="L131" s="18" t="str">
        <f aca="false">IF(A131="","",SUMIFS('Time Log'!$D$5:$D$2000,'Time Log'!$B$5:$B$2000,A131))</f>
        <v/>
      </c>
      <c r="M131" s="15" t="str">
        <f aca="false">IF(OR(A131="",L131=0),"",H131/L131)</f>
        <v/>
      </c>
      <c r="N131" s="14"/>
      <c r="O131" s="14"/>
      <c r="P131" s="14"/>
      <c r="Q131" s="14"/>
      <c r="R131" s="14"/>
    </row>
    <row r="132" customFormat="false" ht="15" hidden="false" customHeight="false" outlineLevel="0" collapsed="false">
      <c r="A132" s="14"/>
      <c r="B132" s="14"/>
      <c r="C132" s="14"/>
      <c r="D132" s="14"/>
      <c r="E132" s="17"/>
      <c r="F132" s="17"/>
      <c r="G132" s="14"/>
      <c r="H132" s="13"/>
      <c r="I132" s="15" t="str">
        <f aca="false">IF(A132="","",H132*0.5)</f>
        <v/>
      </c>
      <c r="J132" s="15" t="str">
        <f aca="false">IF(A132="","",SUMIFS(Payments!$D$5:$D$2000,Payments!$B$5:$B$2000,A132))</f>
        <v/>
      </c>
      <c r="K132" s="15" t="str">
        <f aca="false">IF(A132="","",H132-J132)</f>
        <v/>
      </c>
      <c r="L132" s="18" t="str">
        <f aca="false">IF(A132="","",SUMIFS('Time Log'!$D$5:$D$2000,'Time Log'!$B$5:$B$2000,A132))</f>
        <v/>
      </c>
      <c r="M132" s="15" t="str">
        <f aca="false">IF(OR(A132="",L132=0),"",H132/L132)</f>
        <v/>
      </c>
      <c r="N132" s="14"/>
      <c r="O132" s="14"/>
      <c r="P132" s="14"/>
      <c r="Q132" s="14"/>
      <c r="R132" s="14"/>
    </row>
    <row r="133" customFormat="false" ht="15" hidden="false" customHeight="false" outlineLevel="0" collapsed="false">
      <c r="A133" s="14"/>
      <c r="B133" s="14"/>
      <c r="C133" s="14"/>
      <c r="D133" s="14"/>
      <c r="E133" s="17"/>
      <c r="F133" s="17"/>
      <c r="G133" s="14"/>
      <c r="H133" s="13"/>
      <c r="I133" s="15" t="str">
        <f aca="false">IF(A133="","",H133*0.5)</f>
        <v/>
      </c>
      <c r="J133" s="15" t="str">
        <f aca="false">IF(A133="","",SUMIFS(Payments!$D$5:$D$2000,Payments!$B$5:$B$2000,A133))</f>
        <v/>
      </c>
      <c r="K133" s="15" t="str">
        <f aca="false">IF(A133="","",H133-J133)</f>
        <v/>
      </c>
      <c r="L133" s="18" t="str">
        <f aca="false">IF(A133="","",SUMIFS('Time Log'!$D$5:$D$2000,'Time Log'!$B$5:$B$2000,A133))</f>
        <v/>
      </c>
      <c r="M133" s="15" t="str">
        <f aca="false">IF(OR(A133="",L133=0),"",H133/L133)</f>
        <v/>
      </c>
      <c r="N133" s="14"/>
      <c r="O133" s="14"/>
      <c r="P133" s="14"/>
      <c r="Q133" s="14"/>
      <c r="R133" s="14"/>
    </row>
    <row r="134" customFormat="false" ht="15" hidden="false" customHeight="false" outlineLevel="0" collapsed="false">
      <c r="A134" s="14"/>
      <c r="B134" s="14"/>
      <c r="C134" s="14"/>
      <c r="D134" s="14"/>
      <c r="E134" s="17"/>
      <c r="F134" s="17"/>
      <c r="G134" s="14"/>
      <c r="H134" s="13"/>
      <c r="I134" s="15" t="str">
        <f aca="false">IF(A134="","",H134*0.5)</f>
        <v/>
      </c>
      <c r="J134" s="15" t="str">
        <f aca="false">IF(A134="","",SUMIFS(Payments!$D$5:$D$2000,Payments!$B$5:$B$2000,A134))</f>
        <v/>
      </c>
      <c r="K134" s="15" t="str">
        <f aca="false">IF(A134="","",H134-J134)</f>
        <v/>
      </c>
      <c r="L134" s="18" t="str">
        <f aca="false">IF(A134="","",SUMIFS('Time Log'!$D$5:$D$2000,'Time Log'!$B$5:$B$2000,A134))</f>
        <v/>
      </c>
      <c r="M134" s="15" t="str">
        <f aca="false">IF(OR(A134="",L134=0),"",H134/L134)</f>
        <v/>
      </c>
      <c r="N134" s="14"/>
      <c r="O134" s="14"/>
      <c r="P134" s="14"/>
      <c r="Q134" s="14"/>
      <c r="R134" s="14"/>
    </row>
    <row r="135" customFormat="false" ht="15" hidden="false" customHeight="false" outlineLevel="0" collapsed="false">
      <c r="A135" s="14"/>
      <c r="B135" s="14"/>
      <c r="C135" s="14"/>
      <c r="D135" s="14"/>
      <c r="E135" s="17"/>
      <c r="F135" s="17"/>
      <c r="G135" s="14"/>
      <c r="H135" s="13"/>
      <c r="I135" s="15" t="str">
        <f aca="false">IF(A135="","",H135*0.5)</f>
        <v/>
      </c>
      <c r="J135" s="15" t="str">
        <f aca="false">IF(A135="","",SUMIFS(Payments!$D$5:$D$2000,Payments!$B$5:$B$2000,A135))</f>
        <v/>
      </c>
      <c r="K135" s="15" t="str">
        <f aca="false">IF(A135="","",H135-J135)</f>
        <v/>
      </c>
      <c r="L135" s="18" t="str">
        <f aca="false">IF(A135="","",SUMIFS('Time Log'!$D$5:$D$2000,'Time Log'!$B$5:$B$2000,A135))</f>
        <v/>
      </c>
      <c r="M135" s="15" t="str">
        <f aca="false">IF(OR(A135="",L135=0),"",H135/L135)</f>
        <v/>
      </c>
      <c r="N135" s="14"/>
      <c r="O135" s="14"/>
      <c r="P135" s="14"/>
      <c r="Q135" s="14"/>
      <c r="R135" s="14"/>
    </row>
    <row r="136" customFormat="false" ht="15" hidden="false" customHeight="false" outlineLevel="0" collapsed="false">
      <c r="A136" s="14"/>
      <c r="B136" s="14"/>
      <c r="C136" s="14"/>
      <c r="D136" s="14"/>
      <c r="E136" s="17"/>
      <c r="F136" s="17"/>
      <c r="G136" s="14"/>
      <c r="H136" s="13"/>
      <c r="I136" s="15" t="str">
        <f aca="false">IF(A136="","",H136*0.5)</f>
        <v/>
      </c>
      <c r="J136" s="15" t="str">
        <f aca="false">IF(A136="","",SUMIFS(Payments!$D$5:$D$2000,Payments!$B$5:$B$2000,A136))</f>
        <v/>
      </c>
      <c r="K136" s="15" t="str">
        <f aca="false">IF(A136="","",H136-J136)</f>
        <v/>
      </c>
      <c r="L136" s="18" t="str">
        <f aca="false">IF(A136="","",SUMIFS('Time Log'!$D$5:$D$2000,'Time Log'!$B$5:$B$2000,A136))</f>
        <v/>
      </c>
      <c r="M136" s="15" t="str">
        <f aca="false">IF(OR(A136="",L136=0),"",H136/L136)</f>
        <v/>
      </c>
      <c r="N136" s="14"/>
      <c r="O136" s="14"/>
      <c r="P136" s="14"/>
      <c r="Q136" s="14"/>
      <c r="R136" s="14"/>
    </row>
    <row r="137" customFormat="false" ht="15" hidden="false" customHeight="false" outlineLevel="0" collapsed="false">
      <c r="A137" s="14"/>
      <c r="B137" s="14"/>
      <c r="C137" s="14"/>
      <c r="D137" s="14"/>
      <c r="E137" s="17"/>
      <c r="F137" s="17"/>
      <c r="G137" s="14"/>
      <c r="H137" s="13"/>
      <c r="I137" s="15" t="str">
        <f aca="false">IF(A137="","",H137*0.5)</f>
        <v/>
      </c>
      <c r="J137" s="15" t="str">
        <f aca="false">IF(A137="","",SUMIFS(Payments!$D$5:$D$2000,Payments!$B$5:$B$2000,A137))</f>
        <v/>
      </c>
      <c r="K137" s="15" t="str">
        <f aca="false">IF(A137="","",H137-J137)</f>
        <v/>
      </c>
      <c r="L137" s="18" t="str">
        <f aca="false">IF(A137="","",SUMIFS('Time Log'!$D$5:$D$2000,'Time Log'!$B$5:$B$2000,A137))</f>
        <v/>
      </c>
      <c r="M137" s="15" t="str">
        <f aca="false">IF(OR(A137="",L137=0),"",H137/L137)</f>
        <v/>
      </c>
      <c r="N137" s="14"/>
      <c r="O137" s="14"/>
      <c r="P137" s="14"/>
      <c r="Q137" s="14"/>
      <c r="R137" s="14"/>
    </row>
    <row r="138" customFormat="false" ht="15" hidden="false" customHeight="false" outlineLevel="0" collapsed="false">
      <c r="A138" s="14"/>
      <c r="B138" s="14"/>
      <c r="C138" s="14"/>
      <c r="D138" s="14"/>
      <c r="E138" s="17"/>
      <c r="F138" s="17"/>
      <c r="G138" s="14"/>
      <c r="H138" s="13"/>
      <c r="I138" s="15" t="str">
        <f aca="false">IF(A138="","",H138*0.5)</f>
        <v/>
      </c>
      <c r="J138" s="15" t="str">
        <f aca="false">IF(A138="","",SUMIFS(Payments!$D$5:$D$2000,Payments!$B$5:$B$2000,A138))</f>
        <v/>
      </c>
      <c r="K138" s="15" t="str">
        <f aca="false">IF(A138="","",H138-J138)</f>
        <v/>
      </c>
      <c r="L138" s="18" t="str">
        <f aca="false">IF(A138="","",SUMIFS('Time Log'!$D$5:$D$2000,'Time Log'!$B$5:$B$2000,A138))</f>
        <v/>
      </c>
      <c r="M138" s="15" t="str">
        <f aca="false">IF(OR(A138="",L138=0),"",H138/L138)</f>
        <v/>
      </c>
      <c r="N138" s="14"/>
      <c r="O138" s="14"/>
      <c r="P138" s="14"/>
      <c r="Q138" s="14"/>
      <c r="R138" s="14"/>
    </row>
    <row r="139" customFormat="false" ht="15" hidden="false" customHeight="false" outlineLevel="0" collapsed="false">
      <c r="A139" s="14"/>
      <c r="B139" s="14"/>
      <c r="C139" s="14"/>
      <c r="D139" s="14"/>
      <c r="E139" s="17"/>
      <c r="F139" s="17"/>
      <c r="G139" s="14"/>
      <c r="H139" s="13"/>
      <c r="I139" s="15" t="str">
        <f aca="false">IF(A139="","",H139*0.5)</f>
        <v/>
      </c>
      <c r="J139" s="15" t="str">
        <f aca="false">IF(A139="","",SUMIFS(Payments!$D$5:$D$2000,Payments!$B$5:$B$2000,A139))</f>
        <v/>
      </c>
      <c r="K139" s="15" t="str">
        <f aca="false">IF(A139="","",H139-J139)</f>
        <v/>
      </c>
      <c r="L139" s="18" t="str">
        <f aca="false">IF(A139="","",SUMIFS('Time Log'!$D$5:$D$2000,'Time Log'!$B$5:$B$2000,A139))</f>
        <v/>
      </c>
      <c r="M139" s="15" t="str">
        <f aca="false">IF(OR(A139="",L139=0),"",H139/L139)</f>
        <v/>
      </c>
      <c r="N139" s="14"/>
      <c r="O139" s="14"/>
      <c r="P139" s="14"/>
      <c r="Q139" s="14"/>
      <c r="R139" s="14"/>
    </row>
    <row r="140" customFormat="false" ht="15" hidden="false" customHeight="false" outlineLevel="0" collapsed="false">
      <c r="A140" s="14"/>
      <c r="B140" s="14"/>
      <c r="C140" s="14"/>
      <c r="D140" s="14"/>
      <c r="E140" s="17"/>
      <c r="F140" s="17"/>
      <c r="G140" s="14"/>
      <c r="H140" s="13"/>
      <c r="I140" s="15" t="str">
        <f aca="false">IF(A140="","",H140*0.5)</f>
        <v/>
      </c>
      <c r="J140" s="15" t="str">
        <f aca="false">IF(A140="","",SUMIFS(Payments!$D$5:$D$2000,Payments!$B$5:$B$2000,A140))</f>
        <v/>
      </c>
      <c r="K140" s="15" t="str">
        <f aca="false">IF(A140="","",H140-J140)</f>
        <v/>
      </c>
      <c r="L140" s="18" t="str">
        <f aca="false">IF(A140="","",SUMIFS('Time Log'!$D$5:$D$2000,'Time Log'!$B$5:$B$2000,A140))</f>
        <v/>
      </c>
      <c r="M140" s="15" t="str">
        <f aca="false">IF(OR(A140="",L140=0),"",H140/L140)</f>
        <v/>
      </c>
      <c r="N140" s="14"/>
      <c r="O140" s="14"/>
      <c r="P140" s="14"/>
      <c r="Q140" s="14"/>
      <c r="R140" s="14"/>
    </row>
    <row r="141" customFormat="false" ht="15" hidden="false" customHeight="false" outlineLevel="0" collapsed="false">
      <c r="A141" s="14"/>
      <c r="B141" s="14"/>
      <c r="C141" s="14"/>
      <c r="D141" s="14"/>
      <c r="E141" s="17"/>
      <c r="F141" s="17"/>
      <c r="G141" s="14"/>
      <c r="H141" s="13"/>
      <c r="I141" s="15" t="str">
        <f aca="false">IF(A141="","",H141*0.5)</f>
        <v/>
      </c>
      <c r="J141" s="15" t="str">
        <f aca="false">IF(A141="","",SUMIFS(Payments!$D$5:$D$2000,Payments!$B$5:$B$2000,A141))</f>
        <v/>
      </c>
      <c r="K141" s="15" t="str">
        <f aca="false">IF(A141="","",H141-J141)</f>
        <v/>
      </c>
      <c r="L141" s="18" t="str">
        <f aca="false">IF(A141="","",SUMIFS('Time Log'!$D$5:$D$2000,'Time Log'!$B$5:$B$2000,A141))</f>
        <v/>
      </c>
      <c r="M141" s="15" t="str">
        <f aca="false">IF(OR(A141="",L141=0),"",H141/L141)</f>
        <v/>
      </c>
      <c r="N141" s="14"/>
      <c r="O141" s="14"/>
      <c r="P141" s="14"/>
      <c r="Q141" s="14"/>
      <c r="R141" s="14"/>
    </row>
    <row r="142" customFormat="false" ht="15" hidden="false" customHeight="false" outlineLevel="0" collapsed="false">
      <c r="A142" s="14"/>
      <c r="B142" s="14"/>
      <c r="C142" s="14"/>
      <c r="D142" s="14"/>
      <c r="E142" s="17"/>
      <c r="F142" s="17"/>
      <c r="G142" s="14"/>
      <c r="H142" s="13"/>
      <c r="I142" s="15" t="str">
        <f aca="false">IF(A142="","",H142*0.5)</f>
        <v/>
      </c>
      <c r="J142" s="15" t="str">
        <f aca="false">IF(A142="","",SUMIFS(Payments!$D$5:$D$2000,Payments!$B$5:$B$2000,A142))</f>
        <v/>
      </c>
      <c r="K142" s="15" t="str">
        <f aca="false">IF(A142="","",H142-J142)</f>
        <v/>
      </c>
      <c r="L142" s="18" t="str">
        <f aca="false">IF(A142="","",SUMIFS('Time Log'!$D$5:$D$2000,'Time Log'!$B$5:$B$2000,A142))</f>
        <v/>
      </c>
      <c r="M142" s="15" t="str">
        <f aca="false">IF(OR(A142="",L142=0),"",H142/L142)</f>
        <v/>
      </c>
      <c r="N142" s="14"/>
      <c r="O142" s="14"/>
      <c r="P142" s="14"/>
      <c r="Q142" s="14"/>
      <c r="R142" s="14"/>
    </row>
    <row r="143" customFormat="false" ht="15" hidden="false" customHeight="false" outlineLevel="0" collapsed="false">
      <c r="A143" s="14"/>
      <c r="B143" s="14"/>
      <c r="C143" s="14"/>
      <c r="D143" s="14"/>
      <c r="E143" s="17"/>
      <c r="F143" s="17"/>
      <c r="G143" s="14"/>
      <c r="H143" s="13"/>
      <c r="I143" s="15" t="str">
        <f aca="false">IF(A143="","",H143*0.5)</f>
        <v/>
      </c>
      <c r="J143" s="15" t="str">
        <f aca="false">IF(A143="","",SUMIFS(Payments!$D$5:$D$2000,Payments!$B$5:$B$2000,A143))</f>
        <v/>
      </c>
      <c r="K143" s="15" t="str">
        <f aca="false">IF(A143="","",H143-J143)</f>
        <v/>
      </c>
      <c r="L143" s="18" t="str">
        <f aca="false">IF(A143="","",SUMIFS('Time Log'!$D$5:$D$2000,'Time Log'!$B$5:$B$2000,A143))</f>
        <v/>
      </c>
      <c r="M143" s="15" t="str">
        <f aca="false">IF(OR(A143="",L143=0),"",H143/L143)</f>
        <v/>
      </c>
      <c r="N143" s="14"/>
      <c r="O143" s="14"/>
      <c r="P143" s="14"/>
      <c r="Q143" s="14"/>
      <c r="R143" s="14"/>
    </row>
    <row r="144" customFormat="false" ht="15" hidden="false" customHeight="false" outlineLevel="0" collapsed="false">
      <c r="A144" s="14"/>
      <c r="B144" s="14"/>
      <c r="C144" s="14"/>
      <c r="D144" s="14"/>
      <c r="E144" s="17"/>
      <c r="F144" s="17"/>
      <c r="G144" s="14"/>
      <c r="H144" s="13"/>
      <c r="I144" s="15" t="str">
        <f aca="false">IF(A144="","",H144*0.5)</f>
        <v/>
      </c>
      <c r="J144" s="15" t="str">
        <f aca="false">IF(A144="","",SUMIFS(Payments!$D$5:$D$2000,Payments!$B$5:$B$2000,A144))</f>
        <v/>
      </c>
      <c r="K144" s="15" t="str">
        <f aca="false">IF(A144="","",H144-J144)</f>
        <v/>
      </c>
      <c r="L144" s="18" t="str">
        <f aca="false">IF(A144="","",SUMIFS('Time Log'!$D$5:$D$2000,'Time Log'!$B$5:$B$2000,A144))</f>
        <v/>
      </c>
      <c r="M144" s="15" t="str">
        <f aca="false">IF(OR(A144="",L144=0),"",H144/L144)</f>
        <v/>
      </c>
      <c r="N144" s="14"/>
      <c r="O144" s="14"/>
      <c r="P144" s="14"/>
      <c r="Q144" s="14"/>
      <c r="R144" s="14"/>
    </row>
    <row r="145" customFormat="false" ht="15" hidden="false" customHeight="false" outlineLevel="0" collapsed="false">
      <c r="A145" s="14"/>
      <c r="B145" s="14"/>
      <c r="C145" s="14"/>
      <c r="D145" s="14"/>
      <c r="E145" s="17"/>
      <c r="F145" s="17"/>
      <c r="G145" s="14"/>
      <c r="H145" s="13"/>
      <c r="I145" s="15" t="str">
        <f aca="false">IF(A145="","",H145*0.5)</f>
        <v/>
      </c>
      <c r="J145" s="15" t="str">
        <f aca="false">IF(A145="","",SUMIFS(Payments!$D$5:$D$2000,Payments!$B$5:$B$2000,A145))</f>
        <v/>
      </c>
      <c r="K145" s="15" t="str">
        <f aca="false">IF(A145="","",H145-J145)</f>
        <v/>
      </c>
      <c r="L145" s="18" t="str">
        <f aca="false">IF(A145="","",SUMIFS('Time Log'!$D$5:$D$2000,'Time Log'!$B$5:$B$2000,A145))</f>
        <v/>
      </c>
      <c r="M145" s="15" t="str">
        <f aca="false">IF(OR(A145="",L145=0),"",H145/L145)</f>
        <v/>
      </c>
      <c r="N145" s="14"/>
      <c r="O145" s="14"/>
      <c r="P145" s="14"/>
      <c r="Q145" s="14"/>
      <c r="R145" s="14"/>
    </row>
    <row r="146" customFormat="false" ht="15" hidden="false" customHeight="false" outlineLevel="0" collapsed="false">
      <c r="A146" s="14"/>
      <c r="B146" s="14"/>
      <c r="C146" s="14"/>
      <c r="D146" s="14"/>
      <c r="E146" s="17"/>
      <c r="F146" s="17"/>
      <c r="G146" s="14"/>
      <c r="H146" s="13"/>
      <c r="I146" s="15" t="str">
        <f aca="false">IF(A146="","",H146*0.5)</f>
        <v/>
      </c>
      <c r="J146" s="15" t="str">
        <f aca="false">IF(A146="","",SUMIFS(Payments!$D$5:$D$2000,Payments!$B$5:$B$2000,A146))</f>
        <v/>
      </c>
      <c r="K146" s="15" t="str">
        <f aca="false">IF(A146="","",H146-J146)</f>
        <v/>
      </c>
      <c r="L146" s="18" t="str">
        <f aca="false">IF(A146="","",SUMIFS('Time Log'!$D$5:$D$2000,'Time Log'!$B$5:$B$2000,A146))</f>
        <v/>
      </c>
      <c r="M146" s="15" t="str">
        <f aca="false">IF(OR(A146="",L146=0),"",H146/L146)</f>
        <v/>
      </c>
      <c r="N146" s="14"/>
      <c r="O146" s="14"/>
      <c r="P146" s="14"/>
      <c r="Q146" s="14"/>
      <c r="R146" s="14"/>
    </row>
    <row r="147" customFormat="false" ht="15" hidden="false" customHeight="false" outlineLevel="0" collapsed="false">
      <c r="A147" s="14"/>
      <c r="B147" s="14"/>
      <c r="C147" s="14"/>
      <c r="D147" s="14"/>
      <c r="E147" s="17"/>
      <c r="F147" s="17"/>
      <c r="G147" s="14"/>
      <c r="H147" s="13"/>
      <c r="I147" s="15" t="str">
        <f aca="false">IF(A147="","",H147*0.5)</f>
        <v/>
      </c>
      <c r="J147" s="15" t="str">
        <f aca="false">IF(A147="","",SUMIFS(Payments!$D$5:$D$2000,Payments!$B$5:$B$2000,A147))</f>
        <v/>
      </c>
      <c r="K147" s="15" t="str">
        <f aca="false">IF(A147="","",H147-J147)</f>
        <v/>
      </c>
      <c r="L147" s="18" t="str">
        <f aca="false">IF(A147="","",SUMIFS('Time Log'!$D$5:$D$2000,'Time Log'!$B$5:$B$2000,A147))</f>
        <v/>
      </c>
      <c r="M147" s="15" t="str">
        <f aca="false">IF(OR(A147="",L147=0),"",H147/L147)</f>
        <v/>
      </c>
      <c r="N147" s="14"/>
      <c r="O147" s="14"/>
      <c r="P147" s="14"/>
      <c r="Q147" s="14"/>
      <c r="R147" s="14"/>
    </row>
    <row r="148" customFormat="false" ht="15" hidden="false" customHeight="false" outlineLevel="0" collapsed="false">
      <c r="A148" s="14"/>
      <c r="B148" s="14"/>
      <c r="C148" s="14"/>
      <c r="D148" s="14"/>
      <c r="E148" s="17"/>
      <c r="F148" s="17"/>
      <c r="G148" s="14"/>
      <c r="H148" s="13"/>
      <c r="I148" s="15" t="str">
        <f aca="false">IF(A148="","",H148*0.5)</f>
        <v/>
      </c>
      <c r="J148" s="15" t="str">
        <f aca="false">IF(A148="","",SUMIFS(Payments!$D$5:$D$2000,Payments!$B$5:$B$2000,A148))</f>
        <v/>
      </c>
      <c r="K148" s="15" t="str">
        <f aca="false">IF(A148="","",H148-J148)</f>
        <v/>
      </c>
      <c r="L148" s="18" t="str">
        <f aca="false">IF(A148="","",SUMIFS('Time Log'!$D$5:$D$2000,'Time Log'!$B$5:$B$2000,A148))</f>
        <v/>
      </c>
      <c r="M148" s="15" t="str">
        <f aca="false">IF(OR(A148="",L148=0),"",H148/L148)</f>
        <v/>
      </c>
      <c r="N148" s="14"/>
      <c r="O148" s="14"/>
      <c r="P148" s="14"/>
      <c r="Q148" s="14"/>
      <c r="R148" s="14"/>
    </row>
    <row r="149" customFormat="false" ht="15" hidden="false" customHeight="false" outlineLevel="0" collapsed="false">
      <c r="A149" s="14"/>
      <c r="B149" s="14"/>
      <c r="C149" s="14"/>
      <c r="D149" s="14"/>
      <c r="E149" s="17"/>
      <c r="F149" s="17"/>
      <c r="G149" s="14"/>
      <c r="H149" s="13"/>
      <c r="I149" s="15" t="str">
        <f aca="false">IF(A149="","",H149*0.5)</f>
        <v/>
      </c>
      <c r="J149" s="15" t="str">
        <f aca="false">IF(A149="","",SUMIFS(Payments!$D$5:$D$2000,Payments!$B$5:$B$2000,A149))</f>
        <v/>
      </c>
      <c r="K149" s="15" t="str">
        <f aca="false">IF(A149="","",H149-J149)</f>
        <v/>
      </c>
      <c r="L149" s="18" t="str">
        <f aca="false">IF(A149="","",SUMIFS('Time Log'!$D$5:$D$2000,'Time Log'!$B$5:$B$2000,A149))</f>
        <v/>
      </c>
      <c r="M149" s="15" t="str">
        <f aca="false">IF(OR(A149="",L149=0),"",H149/L149)</f>
        <v/>
      </c>
      <c r="N149" s="14"/>
      <c r="O149" s="14"/>
      <c r="P149" s="14"/>
      <c r="Q149" s="14"/>
      <c r="R149" s="14"/>
    </row>
    <row r="150" customFormat="false" ht="15" hidden="false" customHeight="false" outlineLevel="0" collapsed="false">
      <c r="A150" s="14"/>
      <c r="B150" s="14"/>
      <c r="C150" s="14"/>
      <c r="D150" s="14"/>
      <c r="E150" s="17"/>
      <c r="F150" s="17"/>
      <c r="G150" s="14"/>
      <c r="H150" s="13"/>
      <c r="I150" s="15" t="str">
        <f aca="false">IF(A150="","",H150*0.5)</f>
        <v/>
      </c>
      <c r="J150" s="15" t="str">
        <f aca="false">IF(A150="","",SUMIFS(Payments!$D$5:$D$2000,Payments!$B$5:$B$2000,A150))</f>
        <v/>
      </c>
      <c r="K150" s="15" t="str">
        <f aca="false">IF(A150="","",H150-J150)</f>
        <v/>
      </c>
      <c r="L150" s="18" t="str">
        <f aca="false">IF(A150="","",SUMIFS('Time Log'!$D$5:$D$2000,'Time Log'!$B$5:$B$2000,A150))</f>
        <v/>
      </c>
      <c r="M150" s="15" t="str">
        <f aca="false">IF(OR(A150="",L150=0),"",H150/L150)</f>
        <v/>
      </c>
      <c r="N150" s="14"/>
      <c r="O150" s="14"/>
      <c r="P150" s="14"/>
      <c r="Q150" s="14"/>
      <c r="R150" s="14"/>
    </row>
    <row r="151" customFormat="false" ht="15" hidden="false" customHeight="false" outlineLevel="0" collapsed="false">
      <c r="A151" s="14"/>
      <c r="B151" s="14"/>
      <c r="C151" s="14"/>
      <c r="D151" s="14"/>
      <c r="E151" s="17"/>
      <c r="F151" s="17"/>
      <c r="G151" s="14"/>
      <c r="H151" s="13"/>
      <c r="I151" s="15" t="str">
        <f aca="false">IF(A151="","",H151*0.5)</f>
        <v/>
      </c>
      <c r="J151" s="15" t="str">
        <f aca="false">IF(A151="","",SUMIFS(Payments!$D$5:$D$2000,Payments!$B$5:$B$2000,A151))</f>
        <v/>
      </c>
      <c r="K151" s="15" t="str">
        <f aca="false">IF(A151="","",H151-J151)</f>
        <v/>
      </c>
      <c r="L151" s="18" t="str">
        <f aca="false">IF(A151="","",SUMIFS('Time Log'!$D$5:$D$2000,'Time Log'!$B$5:$B$2000,A151))</f>
        <v/>
      </c>
      <c r="M151" s="15" t="str">
        <f aca="false">IF(OR(A151="",L151=0),"",H151/L151)</f>
        <v/>
      </c>
      <c r="N151" s="14"/>
      <c r="O151" s="14"/>
      <c r="P151" s="14"/>
      <c r="Q151" s="14"/>
      <c r="R151" s="14"/>
    </row>
    <row r="152" customFormat="false" ht="15" hidden="false" customHeight="false" outlineLevel="0" collapsed="false">
      <c r="A152" s="14"/>
      <c r="B152" s="14"/>
      <c r="C152" s="14"/>
      <c r="D152" s="14"/>
      <c r="E152" s="17"/>
      <c r="F152" s="17"/>
      <c r="G152" s="14"/>
      <c r="H152" s="13"/>
      <c r="I152" s="15" t="str">
        <f aca="false">IF(A152="","",H152*0.5)</f>
        <v/>
      </c>
      <c r="J152" s="15" t="str">
        <f aca="false">IF(A152="","",SUMIFS(Payments!$D$5:$D$2000,Payments!$B$5:$B$2000,A152))</f>
        <v/>
      </c>
      <c r="K152" s="15" t="str">
        <f aca="false">IF(A152="","",H152-J152)</f>
        <v/>
      </c>
      <c r="L152" s="18" t="str">
        <f aca="false">IF(A152="","",SUMIFS('Time Log'!$D$5:$D$2000,'Time Log'!$B$5:$B$2000,A152))</f>
        <v/>
      </c>
      <c r="M152" s="15" t="str">
        <f aca="false">IF(OR(A152="",L152=0),"",H152/L152)</f>
        <v/>
      </c>
      <c r="N152" s="14"/>
      <c r="O152" s="14"/>
      <c r="P152" s="14"/>
      <c r="Q152" s="14"/>
      <c r="R152" s="14"/>
    </row>
    <row r="153" customFormat="false" ht="15" hidden="false" customHeight="false" outlineLevel="0" collapsed="false">
      <c r="A153" s="14"/>
      <c r="B153" s="14"/>
      <c r="C153" s="14"/>
      <c r="D153" s="14"/>
      <c r="E153" s="17"/>
      <c r="F153" s="17"/>
      <c r="G153" s="14"/>
      <c r="H153" s="13"/>
      <c r="I153" s="15" t="str">
        <f aca="false">IF(A153="","",H153*0.5)</f>
        <v/>
      </c>
      <c r="J153" s="15" t="str">
        <f aca="false">IF(A153="","",SUMIFS(Payments!$D$5:$D$2000,Payments!$B$5:$B$2000,A153))</f>
        <v/>
      </c>
      <c r="K153" s="15" t="str">
        <f aca="false">IF(A153="","",H153-J153)</f>
        <v/>
      </c>
      <c r="L153" s="18" t="str">
        <f aca="false">IF(A153="","",SUMIFS('Time Log'!$D$5:$D$2000,'Time Log'!$B$5:$B$2000,A153))</f>
        <v/>
      </c>
      <c r="M153" s="15" t="str">
        <f aca="false">IF(OR(A153="",L153=0),"",H153/L153)</f>
        <v/>
      </c>
      <c r="N153" s="14"/>
      <c r="O153" s="14"/>
      <c r="P153" s="14"/>
      <c r="Q153" s="14"/>
      <c r="R153" s="14"/>
    </row>
    <row r="154" customFormat="false" ht="15" hidden="false" customHeight="false" outlineLevel="0" collapsed="false">
      <c r="A154" s="14"/>
      <c r="B154" s="14"/>
      <c r="C154" s="14"/>
      <c r="D154" s="14"/>
      <c r="E154" s="17"/>
      <c r="F154" s="17"/>
      <c r="G154" s="14"/>
      <c r="H154" s="13"/>
      <c r="I154" s="15" t="str">
        <f aca="false">IF(A154="","",H154*0.5)</f>
        <v/>
      </c>
      <c r="J154" s="15" t="str">
        <f aca="false">IF(A154="","",SUMIFS(Payments!$D$5:$D$2000,Payments!$B$5:$B$2000,A154))</f>
        <v/>
      </c>
      <c r="K154" s="15" t="str">
        <f aca="false">IF(A154="","",H154-J154)</f>
        <v/>
      </c>
      <c r="L154" s="18" t="str">
        <f aca="false">IF(A154="","",SUMIFS('Time Log'!$D$5:$D$2000,'Time Log'!$B$5:$B$2000,A154))</f>
        <v/>
      </c>
      <c r="M154" s="15" t="str">
        <f aca="false">IF(OR(A154="",L154=0),"",H154/L154)</f>
        <v/>
      </c>
      <c r="N154" s="14"/>
      <c r="O154" s="14"/>
      <c r="P154" s="14"/>
      <c r="Q154" s="14"/>
      <c r="R154" s="14"/>
    </row>
  </sheetData>
  <conditionalFormatting sqref="K5:K154">
    <cfRule type="expression" priority="2" aboveAverage="0" equalAverage="0" bottom="0" percent="0" rank="0" text="" dxfId="0">
      <formula>AND(K5&lt;&gt;"",K5&gt;0,G5="Delivered")</formula>
    </cfRule>
  </conditionalFormatting>
  <dataValidations count="2">
    <dataValidation allowBlank="true" errorStyle="stop" operator="between" showDropDown="false" showErrorMessage="false" showInputMessage="false" sqref="G5:G154" type="list">
      <formula1>"Enquiry,Quoted,Deposit paid,In progress,Awaiting feedback,Delivered,Paid in full,On hold,Cancelled"</formula1>
      <formula2>0</formula2>
    </dataValidation>
    <dataValidation allowBlank="true" errorStyle="stop" operator="between" showDropDown="false" showErrorMessage="false" showInputMessage="false" sqref="O5:Q15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31.5" hidden="false" customHeight="true" outlineLevel="0" collapsed="false">
      <c r="A4" s="11" t="s">
        <v>106</v>
      </c>
      <c r="B4" s="11" t="s">
        <v>107</v>
      </c>
      <c r="C4" s="11" t="s">
        <v>108</v>
      </c>
      <c r="D4" s="11" t="s">
        <v>109</v>
      </c>
    </row>
    <row r="5" customFormat="false" ht="15" hidden="false" customHeight="false" outlineLevel="0" collapsed="false">
      <c r="A5" s="17" t="n">
        <v>46329</v>
      </c>
      <c r="B5" s="14" t="s">
        <v>97</v>
      </c>
      <c r="C5" s="14" t="s">
        <v>110</v>
      </c>
      <c r="D5" s="14" t="n">
        <v>2.5</v>
      </c>
    </row>
    <row r="6" customFormat="false" ht="15" hidden="false" customHeight="false" outlineLevel="0" collapsed="false">
      <c r="A6" s="17"/>
      <c r="B6" s="14"/>
      <c r="C6" s="14"/>
      <c r="D6" s="14"/>
    </row>
    <row r="7" customFormat="false" ht="15" hidden="false" customHeight="false" outlineLevel="0" collapsed="false">
      <c r="A7" s="17"/>
      <c r="B7" s="14"/>
      <c r="C7" s="14"/>
      <c r="D7" s="14"/>
    </row>
    <row r="8" customFormat="false" ht="15" hidden="false" customHeight="false" outlineLevel="0" collapsed="false">
      <c r="A8" s="17"/>
      <c r="B8" s="14"/>
      <c r="C8" s="14"/>
      <c r="D8" s="14"/>
    </row>
    <row r="9" customFormat="false" ht="15" hidden="false" customHeight="false" outlineLevel="0" collapsed="false">
      <c r="A9" s="17"/>
      <c r="B9" s="14"/>
      <c r="C9" s="14"/>
      <c r="D9" s="14"/>
    </row>
    <row r="10" customFormat="false" ht="15" hidden="false" customHeight="false" outlineLevel="0" collapsed="false">
      <c r="A10" s="17"/>
      <c r="B10" s="14"/>
      <c r="C10" s="14"/>
      <c r="D10" s="14"/>
    </row>
    <row r="11" customFormat="false" ht="15" hidden="false" customHeight="false" outlineLevel="0" collapsed="false">
      <c r="A11" s="17"/>
      <c r="B11" s="14"/>
      <c r="C11" s="14"/>
      <c r="D11" s="14"/>
    </row>
    <row r="12" customFormat="false" ht="15" hidden="false" customHeight="false" outlineLevel="0" collapsed="false">
      <c r="A12" s="17"/>
      <c r="B12" s="14"/>
      <c r="C12" s="14"/>
      <c r="D12" s="14"/>
    </row>
    <row r="13" customFormat="false" ht="15" hidden="false" customHeight="false" outlineLevel="0" collapsed="false">
      <c r="A13" s="17"/>
      <c r="B13" s="14"/>
      <c r="C13" s="14"/>
      <c r="D13" s="14"/>
    </row>
    <row r="14" customFormat="false" ht="15" hidden="false" customHeight="false" outlineLevel="0" collapsed="false">
      <c r="A14" s="17"/>
      <c r="B14" s="14"/>
      <c r="C14" s="14"/>
      <c r="D14" s="14"/>
    </row>
    <row r="15" customFormat="false" ht="15" hidden="false" customHeight="false" outlineLevel="0" collapsed="false">
      <c r="A15" s="17"/>
      <c r="B15" s="14"/>
      <c r="C15" s="14"/>
      <c r="D15" s="14"/>
    </row>
    <row r="16" customFormat="false" ht="15" hidden="false" customHeight="false" outlineLevel="0" collapsed="false">
      <c r="A16" s="17"/>
      <c r="B16" s="14"/>
      <c r="C16" s="14"/>
      <c r="D16" s="14"/>
    </row>
    <row r="17" customFormat="false" ht="15" hidden="false" customHeight="false" outlineLevel="0" collapsed="false">
      <c r="A17" s="17"/>
      <c r="B17" s="14"/>
      <c r="C17" s="14"/>
      <c r="D17" s="14"/>
    </row>
    <row r="18" customFormat="false" ht="15" hidden="false" customHeight="false" outlineLevel="0" collapsed="false">
      <c r="A18" s="17"/>
      <c r="B18" s="14"/>
      <c r="C18" s="14"/>
      <c r="D18" s="14"/>
    </row>
    <row r="19" customFormat="false" ht="15" hidden="false" customHeight="false" outlineLevel="0" collapsed="false">
      <c r="A19" s="17"/>
      <c r="B19" s="14"/>
      <c r="C19" s="14"/>
      <c r="D19" s="14"/>
    </row>
    <row r="20" customFormat="false" ht="15" hidden="false" customHeight="false" outlineLevel="0" collapsed="false">
      <c r="A20" s="17"/>
      <c r="B20" s="14"/>
      <c r="C20" s="14"/>
      <c r="D20" s="14"/>
    </row>
    <row r="21" customFormat="false" ht="15" hidden="false" customHeight="false" outlineLevel="0" collapsed="false">
      <c r="A21" s="17"/>
      <c r="B21" s="14"/>
      <c r="C21" s="14"/>
      <c r="D21" s="14"/>
    </row>
    <row r="22" customFormat="false" ht="15" hidden="false" customHeight="false" outlineLevel="0" collapsed="false">
      <c r="A22" s="17"/>
      <c r="B22" s="14"/>
      <c r="C22" s="14"/>
      <c r="D22" s="14"/>
    </row>
    <row r="23" customFormat="false" ht="15" hidden="false" customHeight="false" outlineLevel="0" collapsed="false">
      <c r="A23" s="17"/>
      <c r="B23" s="14"/>
      <c r="C23" s="14"/>
      <c r="D23" s="14"/>
    </row>
    <row r="24" customFormat="false" ht="15" hidden="false" customHeight="false" outlineLevel="0" collapsed="false">
      <c r="A24" s="17"/>
      <c r="B24" s="14"/>
      <c r="C24" s="14"/>
      <c r="D24" s="14"/>
    </row>
    <row r="25" customFormat="false" ht="15" hidden="false" customHeight="false" outlineLevel="0" collapsed="false">
      <c r="A25" s="17"/>
      <c r="B25" s="14"/>
      <c r="C25" s="14"/>
      <c r="D25" s="14"/>
    </row>
    <row r="26" customFormat="false" ht="15" hidden="false" customHeight="false" outlineLevel="0" collapsed="false">
      <c r="A26" s="17"/>
      <c r="B26" s="14"/>
      <c r="C26" s="14"/>
      <c r="D26" s="14"/>
    </row>
    <row r="27" customFormat="false" ht="15" hidden="false" customHeight="false" outlineLevel="0" collapsed="false">
      <c r="A27" s="17"/>
      <c r="B27" s="14"/>
      <c r="C27" s="14"/>
      <c r="D27" s="14"/>
    </row>
    <row r="28" customFormat="false" ht="15" hidden="false" customHeight="false" outlineLevel="0" collapsed="false">
      <c r="A28" s="17"/>
      <c r="B28" s="14"/>
      <c r="C28" s="14"/>
      <c r="D28" s="14"/>
    </row>
    <row r="29" customFormat="false" ht="15" hidden="false" customHeight="false" outlineLevel="0" collapsed="false">
      <c r="A29" s="17"/>
      <c r="B29" s="14"/>
      <c r="C29" s="14"/>
      <c r="D29" s="14"/>
    </row>
    <row r="30" customFormat="false" ht="15" hidden="false" customHeight="false" outlineLevel="0" collapsed="false">
      <c r="A30" s="17"/>
      <c r="B30" s="14"/>
      <c r="C30" s="14"/>
      <c r="D30" s="14"/>
    </row>
    <row r="31" customFormat="false" ht="15" hidden="false" customHeight="false" outlineLevel="0" collapsed="false">
      <c r="A31" s="17"/>
      <c r="B31" s="14"/>
      <c r="C31" s="14"/>
      <c r="D31" s="14"/>
    </row>
    <row r="32" customFormat="false" ht="15" hidden="false" customHeight="false" outlineLevel="0" collapsed="false">
      <c r="A32" s="17"/>
      <c r="B32" s="14"/>
      <c r="C32" s="14"/>
      <c r="D32" s="14"/>
    </row>
    <row r="33" customFormat="false" ht="15" hidden="false" customHeight="false" outlineLevel="0" collapsed="false">
      <c r="A33" s="17"/>
      <c r="B33" s="14"/>
      <c r="C33" s="14"/>
      <c r="D33" s="14"/>
    </row>
    <row r="34" customFormat="false" ht="15" hidden="false" customHeight="false" outlineLevel="0" collapsed="false">
      <c r="A34" s="17"/>
      <c r="B34" s="14"/>
      <c r="C34" s="14"/>
      <c r="D34" s="14"/>
    </row>
    <row r="35" customFormat="false" ht="15" hidden="false" customHeight="false" outlineLevel="0" collapsed="false">
      <c r="A35" s="17"/>
      <c r="B35" s="14"/>
      <c r="C35" s="14"/>
      <c r="D35" s="14"/>
    </row>
    <row r="36" customFormat="false" ht="15" hidden="false" customHeight="false" outlineLevel="0" collapsed="false">
      <c r="A36" s="17"/>
      <c r="B36" s="14"/>
      <c r="C36" s="14"/>
      <c r="D36" s="14"/>
    </row>
    <row r="37" customFormat="false" ht="15" hidden="false" customHeight="false" outlineLevel="0" collapsed="false">
      <c r="A37" s="17"/>
      <c r="B37" s="14"/>
      <c r="C37" s="14"/>
      <c r="D37" s="14"/>
    </row>
    <row r="38" customFormat="false" ht="15" hidden="false" customHeight="false" outlineLevel="0" collapsed="false">
      <c r="A38" s="17"/>
      <c r="B38" s="14"/>
      <c r="C38" s="14"/>
      <c r="D38" s="14"/>
    </row>
    <row r="39" customFormat="false" ht="15" hidden="false" customHeight="false" outlineLevel="0" collapsed="false">
      <c r="A39" s="17"/>
      <c r="B39" s="14"/>
      <c r="C39" s="14"/>
      <c r="D39" s="14"/>
    </row>
    <row r="40" customFormat="false" ht="15" hidden="false" customHeight="false" outlineLevel="0" collapsed="false">
      <c r="A40" s="17"/>
      <c r="B40" s="14"/>
      <c r="C40" s="14"/>
      <c r="D40" s="14"/>
    </row>
    <row r="41" customFormat="false" ht="15" hidden="false" customHeight="false" outlineLevel="0" collapsed="false">
      <c r="A41" s="17"/>
      <c r="B41" s="14"/>
      <c r="C41" s="14"/>
      <c r="D41" s="14"/>
    </row>
    <row r="42" customFormat="false" ht="15" hidden="false" customHeight="false" outlineLevel="0" collapsed="false">
      <c r="A42" s="17"/>
      <c r="B42" s="14"/>
      <c r="C42" s="14"/>
      <c r="D42" s="14"/>
    </row>
    <row r="43" customFormat="false" ht="15" hidden="false" customHeight="false" outlineLevel="0" collapsed="false">
      <c r="A43" s="17"/>
      <c r="B43" s="14"/>
      <c r="C43" s="14"/>
      <c r="D43" s="14"/>
    </row>
    <row r="44" customFormat="false" ht="15" hidden="false" customHeight="false" outlineLevel="0" collapsed="false">
      <c r="A44" s="17"/>
      <c r="B44" s="14"/>
      <c r="C44" s="14"/>
      <c r="D44" s="14"/>
    </row>
    <row r="45" customFormat="false" ht="15" hidden="false" customHeight="false" outlineLevel="0" collapsed="false">
      <c r="A45" s="17"/>
      <c r="B45" s="14"/>
      <c r="C45" s="14"/>
      <c r="D45" s="14"/>
    </row>
    <row r="46" customFormat="false" ht="15" hidden="false" customHeight="false" outlineLevel="0" collapsed="false">
      <c r="A46" s="17"/>
      <c r="B46" s="14"/>
      <c r="C46" s="14"/>
      <c r="D46" s="14"/>
    </row>
    <row r="47" customFormat="false" ht="15" hidden="false" customHeight="false" outlineLevel="0" collapsed="false">
      <c r="A47" s="17"/>
      <c r="B47" s="14"/>
      <c r="C47" s="14"/>
      <c r="D47" s="14"/>
    </row>
    <row r="48" customFormat="false" ht="15" hidden="false" customHeight="false" outlineLevel="0" collapsed="false">
      <c r="A48" s="17"/>
      <c r="B48" s="14"/>
      <c r="C48" s="14"/>
      <c r="D48" s="14"/>
    </row>
    <row r="49" customFormat="false" ht="15" hidden="false" customHeight="false" outlineLevel="0" collapsed="false">
      <c r="A49" s="17"/>
      <c r="B49" s="14"/>
      <c r="C49" s="14"/>
      <c r="D49" s="14"/>
    </row>
    <row r="50" customFormat="false" ht="15" hidden="false" customHeight="false" outlineLevel="0" collapsed="false">
      <c r="A50" s="17"/>
      <c r="B50" s="14"/>
      <c r="C50" s="14"/>
      <c r="D50" s="14"/>
    </row>
    <row r="51" customFormat="false" ht="15" hidden="false" customHeight="false" outlineLevel="0" collapsed="false">
      <c r="A51" s="17"/>
      <c r="B51" s="14"/>
      <c r="C51" s="14"/>
      <c r="D51" s="14"/>
    </row>
    <row r="52" customFormat="false" ht="15" hidden="false" customHeight="false" outlineLevel="0" collapsed="false">
      <c r="A52" s="17"/>
      <c r="B52" s="14"/>
      <c r="C52" s="14"/>
      <c r="D52" s="14"/>
    </row>
    <row r="53" customFormat="false" ht="15" hidden="false" customHeight="false" outlineLevel="0" collapsed="false">
      <c r="A53" s="17"/>
      <c r="B53" s="14"/>
      <c r="C53" s="14"/>
      <c r="D53" s="14"/>
    </row>
    <row r="54" customFormat="false" ht="15" hidden="false" customHeight="false" outlineLevel="0" collapsed="false">
      <c r="A54" s="17"/>
      <c r="B54" s="14"/>
      <c r="C54" s="14"/>
      <c r="D54" s="14"/>
    </row>
    <row r="55" customFormat="false" ht="15" hidden="false" customHeight="false" outlineLevel="0" collapsed="false">
      <c r="A55" s="17"/>
      <c r="B55" s="14"/>
      <c r="C55" s="14"/>
      <c r="D55" s="14"/>
    </row>
    <row r="56" customFormat="false" ht="15" hidden="false" customHeight="false" outlineLevel="0" collapsed="false">
      <c r="A56" s="17"/>
      <c r="B56" s="14"/>
      <c r="C56" s="14"/>
      <c r="D56" s="14"/>
    </row>
    <row r="57" customFormat="false" ht="15" hidden="false" customHeight="false" outlineLevel="0" collapsed="false">
      <c r="A57" s="17"/>
      <c r="B57" s="14"/>
      <c r="C57" s="14"/>
      <c r="D57" s="14"/>
    </row>
    <row r="58" customFormat="false" ht="15" hidden="false" customHeight="false" outlineLevel="0" collapsed="false">
      <c r="A58" s="17"/>
      <c r="B58" s="14"/>
      <c r="C58" s="14"/>
      <c r="D58" s="14"/>
    </row>
    <row r="59" customFormat="false" ht="15" hidden="false" customHeight="false" outlineLevel="0" collapsed="false">
      <c r="A59" s="17"/>
      <c r="B59" s="14"/>
      <c r="C59" s="14"/>
      <c r="D59" s="14"/>
    </row>
    <row r="60" customFormat="false" ht="15" hidden="false" customHeight="false" outlineLevel="0" collapsed="false">
      <c r="A60" s="17"/>
      <c r="B60" s="14"/>
      <c r="C60" s="14"/>
      <c r="D60" s="14"/>
    </row>
    <row r="61" customFormat="false" ht="15" hidden="false" customHeight="false" outlineLevel="0" collapsed="false">
      <c r="A61" s="17"/>
      <c r="B61" s="14"/>
      <c r="C61" s="14"/>
      <c r="D61" s="14"/>
    </row>
    <row r="62" customFormat="false" ht="15" hidden="false" customHeight="false" outlineLevel="0" collapsed="false">
      <c r="A62" s="17"/>
      <c r="B62" s="14"/>
      <c r="C62" s="14"/>
      <c r="D62" s="14"/>
    </row>
    <row r="63" customFormat="false" ht="15" hidden="false" customHeight="false" outlineLevel="0" collapsed="false">
      <c r="A63" s="17"/>
      <c r="B63" s="14"/>
      <c r="C63" s="14"/>
      <c r="D63" s="14"/>
    </row>
    <row r="64" customFormat="false" ht="15" hidden="false" customHeight="false" outlineLevel="0" collapsed="false">
      <c r="A64" s="17"/>
      <c r="B64" s="14"/>
      <c r="C64" s="14"/>
      <c r="D64" s="14"/>
    </row>
    <row r="65" customFormat="false" ht="15" hidden="false" customHeight="false" outlineLevel="0" collapsed="false">
      <c r="A65" s="17"/>
      <c r="B65" s="14"/>
      <c r="C65" s="14"/>
      <c r="D65" s="14"/>
    </row>
    <row r="66" customFormat="false" ht="15" hidden="false" customHeight="false" outlineLevel="0" collapsed="false">
      <c r="A66" s="17"/>
      <c r="B66" s="14"/>
      <c r="C66" s="14"/>
      <c r="D66" s="14"/>
    </row>
    <row r="67" customFormat="false" ht="15" hidden="false" customHeight="false" outlineLevel="0" collapsed="false">
      <c r="A67" s="17"/>
      <c r="B67" s="14"/>
      <c r="C67" s="14"/>
      <c r="D67" s="14"/>
    </row>
    <row r="68" customFormat="false" ht="15" hidden="false" customHeight="false" outlineLevel="0" collapsed="false">
      <c r="A68" s="17"/>
      <c r="B68" s="14"/>
      <c r="C68" s="14"/>
      <c r="D68" s="14"/>
    </row>
    <row r="69" customFormat="false" ht="15" hidden="false" customHeight="false" outlineLevel="0" collapsed="false">
      <c r="A69" s="17"/>
      <c r="B69" s="14"/>
      <c r="C69" s="14"/>
      <c r="D69" s="14"/>
    </row>
    <row r="70" customFormat="false" ht="15" hidden="false" customHeight="false" outlineLevel="0" collapsed="false">
      <c r="A70" s="17"/>
      <c r="B70" s="14"/>
      <c r="C70" s="14"/>
      <c r="D70" s="14"/>
    </row>
    <row r="71" customFormat="false" ht="15" hidden="false" customHeight="false" outlineLevel="0" collapsed="false">
      <c r="A71" s="17"/>
      <c r="B71" s="14"/>
      <c r="C71" s="14"/>
      <c r="D71" s="14"/>
    </row>
    <row r="72" customFormat="false" ht="15" hidden="false" customHeight="false" outlineLevel="0" collapsed="false">
      <c r="A72" s="17"/>
      <c r="B72" s="14"/>
      <c r="C72" s="14"/>
      <c r="D72" s="14"/>
    </row>
    <row r="73" customFormat="false" ht="15" hidden="false" customHeight="false" outlineLevel="0" collapsed="false">
      <c r="A73" s="17"/>
      <c r="B73" s="14"/>
      <c r="C73" s="14"/>
      <c r="D73" s="14"/>
    </row>
    <row r="74" customFormat="false" ht="15" hidden="false" customHeight="false" outlineLevel="0" collapsed="false">
      <c r="A74" s="17"/>
      <c r="B74" s="14"/>
      <c r="C74" s="14"/>
      <c r="D74" s="14"/>
    </row>
    <row r="75" customFormat="false" ht="15" hidden="false" customHeight="false" outlineLevel="0" collapsed="false">
      <c r="A75" s="17"/>
      <c r="B75" s="14"/>
      <c r="C75" s="14"/>
      <c r="D75" s="14"/>
    </row>
    <row r="76" customFormat="false" ht="15" hidden="false" customHeight="false" outlineLevel="0" collapsed="false">
      <c r="A76" s="17"/>
      <c r="B76" s="14"/>
      <c r="C76" s="14"/>
      <c r="D76" s="14"/>
    </row>
    <row r="77" customFormat="false" ht="15" hidden="false" customHeight="false" outlineLevel="0" collapsed="false">
      <c r="A77" s="17"/>
      <c r="B77" s="14"/>
      <c r="C77" s="14"/>
      <c r="D77" s="14"/>
    </row>
    <row r="78" customFormat="false" ht="15" hidden="false" customHeight="false" outlineLevel="0" collapsed="false">
      <c r="A78" s="17"/>
      <c r="B78" s="14"/>
      <c r="C78" s="14"/>
      <c r="D78" s="14"/>
    </row>
    <row r="79" customFormat="false" ht="15" hidden="false" customHeight="false" outlineLevel="0" collapsed="false">
      <c r="A79" s="17"/>
      <c r="B79" s="14"/>
      <c r="C79" s="14"/>
      <c r="D79" s="14"/>
    </row>
    <row r="80" customFormat="false" ht="15" hidden="false" customHeight="false" outlineLevel="0" collapsed="false">
      <c r="A80" s="17"/>
      <c r="B80" s="14"/>
      <c r="C80" s="14"/>
      <c r="D80" s="14"/>
    </row>
    <row r="81" customFormat="false" ht="15" hidden="false" customHeight="false" outlineLevel="0" collapsed="false">
      <c r="A81" s="17"/>
      <c r="B81" s="14"/>
      <c r="C81" s="14"/>
      <c r="D81" s="14"/>
    </row>
    <row r="82" customFormat="false" ht="15" hidden="false" customHeight="false" outlineLevel="0" collapsed="false">
      <c r="A82" s="17"/>
      <c r="B82" s="14"/>
      <c r="C82" s="14"/>
      <c r="D82" s="14"/>
    </row>
    <row r="83" customFormat="false" ht="15" hidden="false" customHeight="false" outlineLevel="0" collapsed="false">
      <c r="A83" s="17"/>
      <c r="B83" s="14"/>
      <c r="C83" s="14"/>
      <c r="D83" s="14"/>
    </row>
    <row r="84" customFormat="false" ht="15" hidden="false" customHeight="false" outlineLevel="0" collapsed="false">
      <c r="A84" s="17"/>
      <c r="B84" s="14"/>
      <c r="C84" s="14"/>
      <c r="D84" s="14"/>
    </row>
    <row r="85" customFormat="false" ht="15" hidden="false" customHeight="false" outlineLevel="0" collapsed="false">
      <c r="A85" s="17"/>
      <c r="B85" s="14"/>
      <c r="C85" s="14"/>
      <c r="D85" s="14"/>
    </row>
    <row r="86" customFormat="false" ht="15" hidden="false" customHeight="false" outlineLevel="0" collapsed="false">
      <c r="A86" s="17"/>
      <c r="B86" s="14"/>
      <c r="C86" s="14"/>
      <c r="D86" s="14"/>
    </row>
    <row r="87" customFormat="false" ht="15" hidden="false" customHeight="false" outlineLevel="0" collapsed="false">
      <c r="A87" s="17"/>
      <c r="B87" s="14"/>
      <c r="C87" s="14"/>
      <c r="D87" s="14"/>
    </row>
    <row r="88" customFormat="false" ht="15" hidden="false" customHeight="false" outlineLevel="0" collapsed="false">
      <c r="A88" s="17"/>
      <c r="B88" s="14"/>
      <c r="C88" s="14"/>
      <c r="D88" s="14"/>
    </row>
    <row r="89" customFormat="false" ht="15" hidden="false" customHeight="false" outlineLevel="0" collapsed="false">
      <c r="A89" s="17"/>
      <c r="B89" s="14"/>
      <c r="C89" s="14"/>
      <c r="D89" s="14"/>
    </row>
    <row r="90" customFormat="false" ht="15" hidden="false" customHeight="false" outlineLevel="0" collapsed="false">
      <c r="A90" s="17"/>
      <c r="B90" s="14"/>
      <c r="C90" s="14"/>
      <c r="D90" s="14"/>
    </row>
    <row r="91" customFormat="false" ht="15" hidden="false" customHeight="false" outlineLevel="0" collapsed="false">
      <c r="A91" s="17"/>
      <c r="B91" s="14"/>
      <c r="C91" s="14"/>
      <c r="D91" s="14"/>
    </row>
    <row r="92" customFormat="false" ht="15" hidden="false" customHeight="false" outlineLevel="0" collapsed="false">
      <c r="A92" s="17"/>
      <c r="B92" s="14"/>
      <c r="C92" s="14"/>
      <c r="D92" s="14"/>
    </row>
    <row r="93" customFormat="false" ht="15" hidden="false" customHeight="false" outlineLevel="0" collapsed="false">
      <c r="A93" s="17"/>
      <c r="B93" s="14"/>
      <c r="C93" s="14"/>
      <c r="D93" s="14"/>
    </row>
    <row r="94" customFormat="false" ht="15" hidden="false" customHeight="false" outlineLevel="0" collapsed="false">
      <c r="A94" s="17"/>
      <c r="B94" s="14"/>
      <c r="C94" s="14"/>
      <c r="D94" s="14"/>
    </row>
    <row r="95" customFormat="false" ht="15" hidden="false" customHeight="false" outlineLevel="0" collapsed="false">
      <c r="A95" s="17"/>
      <c r="B95" s="14"/>
      <c r="C95" s="14"/>
      <c r="D95" s="14"/>
    </row>
    <row r="96" customFormat="false" ht="15" hidden="false" customHeight="false" outlineLevel="0" collapsed="false">
      <c r="A96" s="17"/>
      <c r="B96" s="14"/>
      <c r="C96" s="14"/>
      <c r="D96" s="14"/>
    </row>
    <row r="97" customFormat="false" ht="15" hidden="false" customHeight="false" outlineLevel="0" collapsed="false">
      <c r="A97" s="17"/>
      <c r="B97" s="14"/>
      <c r="C97" s="14"/>
      <c r="D97" s="14"/>
    </row>
    <row r="98" customFormat="false" ht="15" hidden="false" customHeight="false" outlineLevel="0" collapsed="false">
      <c r="A98" s="17"/>
      <c r="B98" s="14"/>
      <c r="C98" s="14"/>
      <c r="D98" s="14"/>
    </row>
    <row r="99" customFormat="false" ht="15" hidden="false" customHeight="false" outlineLevel="0" collapsed="false">
      <c r="A99" s="17"/>
      <c r="B99" s="14"/>
      <c r="C99" s="14"/>
      <c r="D99" s="14"/>
    </row>
    <row r="100" customFormat="false" ht="15" hidden="false" customHeight="false" outlineLevel="0" collapsed="false">
      <c r="A100" s="17"/>
      <c r="B100" s="14"/>
      <c r="C100" s="14"/>
      <c r="D100" s="14"/>
    </row>
    <row r="101" customFormat="false" ht="15" hidden="false" customHeight="false" outlineLevel="0" collapsed="false">
      <c r="A101" s="17"/>
      <c r="B101" s="14"/>
      <c r="C101" s="14"/>
      <c r="D101" s="14"/>
    </row>
    <row r="102" customFormat="false" ht="15" hidden="false" customHeight="false" outlineLevel="0" collapsed="false">
      <c r="A102" s="17"/>
      <c r="B102" s="14"/>
      <c r="C102" s="14"/>
      <c r="D102" s="14"/>
    </row>
    <row r="103" customFormat="false" ht="15" hidden="false" customHeight="false" outlineLevel="0" collapsed="false">
      <c r="A103" s="17"/>
      <c r="B103" s="14"/>
      <c r="C103" s="14"/>
      <c r="D103" s="14"/>
    </row>
    <row r="104" customFormat="false" ht="15" hidden="false" customHeight="false" outlineLevel="0" collapsed="false">
      <c r="A104" s="17"/>
      <c r="B104" s="14"/>
      <c r="C104" s="14"/>
      <c r="D104" s="14"/>
    </row>
    <row r="105" customFormat="false" ht="15" hidden="false" customHeight="false" outlineLevel="0" collapsed="false">
      <c r="A105" s="17"/>
      <c r="B105" s="14"/>
      <c r="C105" s="14"/>
      <c r="D105" s="14"/>
    </row>
    <row r="106" customFormat="false" ht="15" hidden="false" customHeight="false" outlineLevel="0" collapsed="false">
      <c r="A106" s="17"/>
      <c r="B106" s="14"/>
      <c r="C106" s="14"/>
      <c r="D106" s="14"/>
    </row>
    <row r="107" customFormat="false" ht="15" hidden="false" customHeight="false" outlineLevel="0" collapsed="false">
      <c r="A107" s="17"/>
      <c r="B107" s="14"/>
      <c r="C107" s="14"/>
      <c r="D107" s="14"/>
    </row>
    <row r="108" customFormat="false" ht="15" hidden="false" customHeight="false" outlineLevel="0" collapsed="false">
      <c r="A108" s="17"/>
      <c r="B108" s="14"/>
      <c r="C108" s="14"/>
      <c r="D108" s="14"/>
    </row>
    <row r="109" customFormat="false" ht="15" hidden="false" customHeight="false" outlineLevel="0" collapsed="false">
      <c r="A109" s="17"/>
      <c r="B109" s="14"/>
      <c r="C109" s="14"/>
      <c r="D109" s="14"/>
    </row>
    <row r="110" customFormat="false" ht="15" hidden="false" customHeight="false" outlineLevel="0" collapsed="false">
      <c r="A110" s="17"/>
      <c r="B110" s="14"/>
      <c r="C110" s="14"/>
      <c r="D110" s="14"/>
    </row>
    <row r="111" customFormat="false" ht="15" hidden="false" customHeight="false" outlineLevel="0" collapsed="false">
      <c r="A111" s="17"/>
      <c r="B111" s="14"/>
      <c r="C111" s="14"/>
      <c r="D111" s="14"/>
    </row>
    <row r="112" customFormat="false" ht="15" hidden="false" customHeight="false" outlineLevel="0" collapsed="false">
      <c r="A112" s="17"/>
      <c r="B112" s="14"/>
      <c r="C112" s="14"/>
      <c r="D112" s="14"/>
    </row>
    <row r="113" customFormat="false" ht="15" hidden="false" customHeight="false" outlineLevel="0" collapsed="false">
      <c r="A113" s="17"/>
      <c r="B113" s="14"/>
      <c r="C113" s="14"/>
      <c r="D113" s="14"/>
    </row>
    <row r="114" customFormat="false" ht="15" hidden="false" customHeight="false" outlineLevel="0" collapsed="false">
      <c r="A114" s="17"/>
      <c r="B114" s="14"/>
      <c r="C114" s="14"/>
      <c r="D114" s="14"/>
    </row>
    <row r="115" customFormat="false" ht="15" hidden="false" customHeight="false" outlineLevel="0" collapsed="false">
      <c r="A115" s="17"/>
      <c r="B115" s="14"/>
      <c r="C115" s="14"/>
      <c r="D115" s="14"/>
    </row>
    <row r="116" customFormat="false" ht="15" hidden="false" customHeight="false" outlineLevel="0" collapsed="false">
      <c r="A116" s="17"/>
      <c r="B116" s="14"/>
      <c r="C116" s="14"/>
      <c r="D116" s="14"/>
    </row>
    <row r="117" customFormat="false" ht="15" hidden="false" customHeight="false" outlineLevel="0" collapsed="false">
      <c r="A117" s="17"/>
      <c r="B117" s="14"/>
      <c r="C117" s="14"/>
      <c r="D117" s="14"/>
    </row>
    <row r="118" customFormat="false" ht="15" hidden="false" customHeight="false" outlineLevel="0" collapsed="false">
      <c r="A118" s="17"/>
      <c r="B118" s="14"/>
      <c r="C118" s="14"/>
      <c r="D118" s="14"/>
    </row>
    <row r="119" customFormat="false" ht="15" hidden="false" customHeight="false" outlineLevel="0" collapsed="false">
      <c r="A119" s="17"/>
      <c r="B119" s="14"/>
      <c r="C119" s="14"/>
      <c r="D119" s="14"/>
    </row>
    <row r="120" customFormat="false" ht="15" hidden="false" customHeight="false" outlineLevel="0" collapsed="false">
      <c r="A120" s="17"/>
      <c r="B120" s="14"/>
      <c r="C120" s="14"/>
      <c r="D120" s="14"/>
    </row>
    <row r="121" customFormat="false" ht="15" hidden="false" customHeight="false" outlineLevel="0" collapsed="false">
      <c r="A121" s="17"/>
      <c r="B121" s="14"/>
      <c r="C121" s="14"/>
      <c r="D121" s="14"/>
    </row>
    <row r="122" customFormat="false" ht="15" hidden="false" customHeight="false" outlineLevel="0" collapsed="false">
      <c r="A122" s="17"/>
      <c r="B122" s="14"/>
      <c r="C122" s="14"/>
      <c r="D122" s="14"/>
    </row>
    <row r="123" customFormat="false" ht="15" hidden="false" customHeight="false" outlineLevel="0" collapsed="false">
      <c r="A123" s="17"/>
      <c r="B123" s="14"/>
      <c r="C123" s="14"/>
      <c r="D123" s="14"/>
    </row>
    <row r="124" customFormat="false" ht="15" hidden="false" customHeight="false" outlineLevel="0" collapsed="false">
      <c r="A124" s="17"/>
      <c r="B124" s="14"/>
      <c r="C124" s="14"/>
      <c r="D124" s="14"/>
    </row>
    <row r="125" customFormat="false" ht="15" hidden="false" customHeight="false" outlineLevel="0" collapsed="false">
      <c r="A125" s="17"/>
      <c r="B125" s="14"/>
      <c r="C125" s="14"/>
      <c r="D125" s="14"/>
    </row>
    <row r="126" customFormat="false" ht="15" hidden="false" customHeight="false" outlineLevel="0" collapsed="false">
      <c r="A126" s="17"/>
      <c r="B126" s="14"/>
      <c r="C126" s="14"/>
      <c r="D126" s="14"/>
    </row>
    <row r="127" customFormat="false" ht="15" hidden="false" customHeight="false" outlineLevel="0" collapsed="false">
      <c r="A127" s="17"/>
      <c r="B127" s="14"/>
      <c r="C127" s="14"/>
      <c r="D127" s="14"/>
    </row>
    <row r="128" customFormat="false" ht="15" hidden="false" customHeight="false" outlineLevel="0" collapsed="false">
      <c r="A128" s="17"/>
      <c r="B128" s="14"/>
      <c r="C128" s="14"/>
      <c r="D128" s="14"/>
    </row>
    <row r="129" customFormat="false" ht="15" hidden="false" customHeight="false" outlineLevel="0" collapsed="false">
      <c r="A129" s="17"/>
      <c r="B129" s="14"/>
      <c r="C129" s="14"/>
      <c r="D129" s="14"/>
    </row>
    <row r="130" customFormat="false" ht="15" hidden="false" customHeight="false" outlineLevel="0" collapsed="false">
      <c r="A130" s="17"/>
      <c r="B130" s="14"/>
      <c r="C130" s="14"/>
      <c r="D130" s="14"/>
    </row>
    <row r="131" customFormat="false" ht="15" hidden="false" customHeight="false" outlineLevel="0" collapsed="false">
      <c r="A131" s="17"/>
      <c r="B131" s="14"/>
      <c r="C131" s="14"/>
      <c r="D131" s="14"/>
    </row>
    <row r="132" customFormat="false" ht="15" hidden="false" customHeight="false" outlineLevel="0" collapsed="false">
      <c r="A132" s="17"/>
      <c r="B132" s="14"/>
      <c r="C132" s="14"/>
      <c r="D132" s="14"/>
    </row>
    <row r="133" customFormat="false" ht="15" hidden="false" customHeight="false" outlineLevel="0" collapsed="false">
      <c r="A133" s="17"/>
      <c r="B133" s="14"/>
      <c r="C133" s="14"/>
      <c r="D133" s="14"/>
    </row>
    <row r="134" customFormat="false" ht="15" hidden="false" customHeight="false" outlineLevel="0" collapsed="false">
      <c r="A134" s="17"/>
      <c r="B134" s="14"/>
      <c r="C134" s="14"/>
      <c r="D134" s="14"/>
    </row>
    <row r="135" customFormat="false" ht="15" hidden="false" customHeight="false" outlineLevel="0" collapsed="false">
      <c r="A135" s="17"/>
      <c r="B135" s="14"/>
      <c r="C135" s="14"/>
      <c r="D135" s="14"/>
    </row>
    <row r="136" customFormat="false" ht="15" hidden="false" customHeight="false" outlineLevel="0" collapsed="false">
      <c r="A136" s="17"/>
      <c r="B136" s="14"/>
      <c r="C136" s="14"/>
      <c r="D136" s="14"/>
    </row>
    <row r="137" customFormat="false" ht="15" hidden="false" customHeight="false" outlineLevel="0" collapsed="false">
      <c r="A137" s="17"/>
      <c r="B137" s="14"/>
      <c r="C137" s="14"/>
      <c r="D137" s="14"/>
    </row>
    <row r="138" customFormat="false" ht="15" hidden="false" customHeight="false" outlineLevel="0" collapsed="false">
      <c r="A138" s="17"/>
      <c r="B138" s="14"/>
      <c r="C138" s="14"/>
      <c r="D138" s="14"/>
    </row>
    <row r="139" customFormat="false" ht="15" hidden="false" customHeight="false" outlineLevel="0" collapsed="false">
      <c r="A139" s="17"/>
      <c r="B139" s="14"/>
      <c r="C139" s="14"/>
      <c r="D139" s="14"/>
    </row>
    <row r="140" customFormat="false" ht="15" hidden="false" customHeight="false" outlineLevel="0" collapsed="false">
      <c r="A140" s="17"/>
      <c r="B140" s="14"/>
      <c r="C140" s="14"/>
      <c r="D140" s="14"/>
    </row>
    <row r="141" customFormat="false" ht="15" hidden="false" customHeight="false" outlineLevel="0" collapsed="false">
      <c r="A141" s="17"/>
      <c r="B141" s="14"/>
      <c r="C141" s="14"/>
      <c r="D141" s="14"/>
    </row>
    <row r="142" customFormat="false" ht="15" hidden="false" customHeight="false" outlineLevel="0" collapsed="false">
      <c r="A142" s="17"/>
      <c r="B142" s="14"/>
      <c r="C142" s="14"/>
      <c r="D142" s="14"/>
    </row>
    <row r="143" customFormat="false" ht="15" hidden="false" customHeight="false" outlineLevel="0" collapsed="false">
      <c r="A143" s="17"/>
      <c r="B143" s="14"/>
      <c r="C143" s="14"/>
      <c r="D143" s="14"/>
    </row>
    <row r="144" customFormat="false" ht="15" hidden="false" customHeight="false" outlineLevel="0" collapsed="false">
      <c r="A144" s="17"/>
      <c r="B144" s="14"/>
      <c r="C144" s="14"/>
      <c r="D144" s="14"/>
    </row>
    <row r="145" customFormat="false" ht="15" hidden="false" customHeight="false" outlineLevel="0" collapsed="false">
      <c r="A145" s="17"/>
      <c r="B145" s="14"/>
      <c r="C145" s="14"/>
      <c r="D145" s="14"/>
    </row>
    <row r="146" customFormat="false" ht="15" hidden="false" customHeight="false" outlineLevel="0" collapsed="false">
      <c r="A146" s="17"/>
      <c r="B146" s="14"/>
      <c r="C146" s="14"/>
      <c r="D146" s="14"/>
    </row>
    <row r="147" customFormat="false" ht="15" hidden="false" customHeight="false" outlineLevel="0" collapsed="false">
      <c r="A147" s="17"/>
      <c r="B147" s="14"/>
      <c r="C147" s="14"/>
      <c r="D147" s="14"/>
    </row>
    <row r="148" customFormat="false" ht="15" hidden="false" customHeight="false" outlineLevel="0" collapsed="false">
      <c r="A148" s="17"/>
      <c r="B148" s="14"/>
      <c r="C148" s="14"/>
      <c r="D148" s="14"/>
    </row>
    <row r="149" customFormat="false" ht="15" hidden="false" customHeight="false" outlineLevel="0" collapsed="false">
      <c r="A149" s="17"/>
      <c r="B149" s="14"/>
      <c r="C149" s="14"/>
      <c r="D149" s="14"/>
    </row>
    <row r="150" customFormat="false" ht="15" hidden="false" customHeight="false" outlineLevel="0" collapsed="false">
      <c r="A150" s="17"/>
      <c r="B150" s="14"/>
      <c r="C150" s="14"/>
      <c r="D150" s="14"/>
    </row>
    <row r="151" customFormat="false" ht="15" hidden="false" customHeight="false" outlineLevel="0" collapsed="false">
      <c r="A151" s="17"/>
      <c r="B151" s="14"/>
      <c r="C151" s="14"/>
      <c r="D151" s="14"/>
    </row>
    <row r="152" customFormat="false" ht="15" hidden="false" customHeight="false" outlineLevel="0" collapsed="false">
      <c r="A152" s="17"/>
      <c r="B152" s="14"/>
      <c r="C152" s="14"/>
      <c r="D152" s="14"/>
    </row>
    <row r="153" customFormat="false" ht="15" hidden="false" customHeight="false" outlineLevel="0" collapsed="false">
      <c r="A153" s="17"/>
      <c r="B153" s="14"/>
      <c r="C153" s="14"/>
      <c r="D153" s="14"/>
    </row>
    <row r="154" customFormat="false" ht="15" hidden="false" customHeight="false" outlineLevel="0" collapsed="false">
      <c r="A154" s="17"/>
      <c r="B154" s="14"/>
      <c r="C154" s="14"/>
      <c r="D154" s="14"/>
    </row>
    <row r="155" customFormat="false" ht="15" hidden="false" customHeight="false" outlineLevel="0" collapsed="false">
      <c r="A155" s="17"/>
      <c r="B155" s="14"/>
      <c r="C155" s="14"/>
      <c r="D155" s="14"/>
    </row>
    <row r="156" customFormat="false" ht="15" hidden="false" customHeight="false" outlineLevel="0" collapsed="false">
      <c r="A156" s="17"/>
      <c r="B156" s="14"/>
      <c r="C156" s="14"/>
      <c r="D156" s="14"/>
    </row>
    <row r="157" customFormat="false" ht="15" hidden="false" customHeight="false" outlineLevel="0" collapsed="false">
      <c r="A157" s="17"/>
      <c r="B157" s="14"/>
      <c r="C157" s="14"/>
      <c r="D157" s="14"/>
    </row>
    <row r="158" customFormat="false" ht="15" hidden="false" customHeight="false" outlineLevel="0" collapsed="false">
      <c r="A158" s="17"/>
      <c r="B158" s="14"/>
      <c r="C158" s="14"/>
      <c r="D158" s="14"/>
    </row>
    <row r="159" customFormat="false" ht="15" hidden="false" customHeight="false" outlineLevel="0" collapsed="false">
      <c r="A159" s="17"/>
      <c r="B159" s="14"/>
      <c r="C159" s="14"/>
      <c r="D159" s="14"/>
    </row>
    <row r="160" customFormat="false" ht="15" hidden="false" customHeight="false" outlineLevel="0" collapsed="false">
      <c r="A160" s="17"/>
      <c r="B160" s="14"/>
      <c r="C160" s="14"/>
      <c r="D160" s="14"/>
    </row>
    <row r="161" customFormat="false" ht="15" hidden="false" customHeight="false" outlineLevel="0" collapsed="false">
      <c r="A161" s="17"/>
      <c r="B161" s="14"/>
      <c r="C161" s="14"/>
      <c r="D161" s="14"/>
    </row>
    <row r="162" customFormat="false" ht="15" hidden="false" customHeight="false" outlineLevel="0" collapsed="false">
      <c r="A162" s="17"/>
      <c r="B162" s="14"/>
      <c r="C162" s="14"/>
      <c r="D162" s="14"/>
    </row>
    <row r="163" customFormat="false" ht="15" hidden="false" customHeight="false" outlineLevel="0" collapsed="false">
      <c r="A163" s="17"/>
      <c r="B163" s="14"/>
      <c r="C163" s="14"/>
      <c r="D163" s="14"/>
    </row>
    <row r="164" customFormat="false" ht="15" hidden="false" customHeight="false" outlineLevel="0" collapsed="false">
      <c r="A164" s="17"/>
      <c r="B164" s="14"/>
      <c r="C164" s="14"/>
      <c r="D164" s="14"/>
    </row>
    <row r="165" customFormat="false" ht="15" hidden="false" customHeight="false" outlineLevel="0" collapsed="false">
      <c r="A165" s="17"/>
      <c r="B165" s="14"/>
      <c r="C165" s="14"/>
      <c r="D165" s="14"/>
    </row>
    <row r="166" customFormat="false" ht="15" hidden="false" customHeight="false" outlineLevel="0" collapsed="false">
      <c r="A166" s="17"/>
      <c r="B166" s="14"/>
      <c r="C166" s="14"/>
      <c r="D166" s="14"/>
    </row>
    <row r="167" customFormat="false" ht="15" hidden="false" customHeight="false" outlineLevel="0" collapsed="false">
      <c r="A167" s="17"/>
      <c r="B167" s="14"/>
      <c r="C167" s="14"/>
      <c r="D167" s="14"/>
    </row>
    <row r="168" customFormat="false" ht="15" hidden="false" customHeight="false" outlineLevel="0" collapsed="false">
      <c r="A168" s="17"/>
      <c r="B168" s="14"/>
      <c r="C168" s="14"/>
      <c r="D168" s="14"/>
    </row>
    <row r="169" customFormat="false" ht="15" hidden="false" customHeight="false" outlineLevel="0" collapsed="false">
      <c r="A169" s="17"/>
      <c r="B169" s="14"/>
      <c r="C169" s="14"/>
      <c r="D169" s="14"/>
    </row>
    <row r="170" customFormat="false" ht="15" hidden="false" customHeight="false" outlineLevel="0" collapsed="false">
      <c r="A170" s="17"/>
      <c r="B170" s="14"/>
      <c r="C170" s="14"/>
      <c r="D170" s="14"/>
    </row>
    <row r="171" customFormat="false" ht="15" hidden="false" customHeight="false" outlineLevel="0" collapsed="false">
      <c r="A171" s="17"/>
      <c r="B171" s="14"/>
      <c r="C171" s="14"/>
      <c r="D171" s="14"/>
    </row>
    <row r="172" customFormat="false" ht="15" hidden="false" customHeight="false" outlineLevel="0" collapsed="false">
      <c r="A172" s="17"/>
      <c r="B172" s="14"/>
      <c r="C172" s="14"/>
      <c r="D172" s="14"/>
    </row>
    <row r="173" customFormat="false" ht="15" hidden="false" customHeight="false" outlineLevel="0" collapsed="false">
      <c r="A173" s="17"/>
      <c r="B173" s="14"/>
      <c r="C173" s="14"/>
      <c r="D173" s="14"/>
    </row>
    <row r="174" customFormat="false" ht="15" hidden="false" customHeight="false" outlineLevel="0" collapsed="false">
      <c r="A174" s="17"/>
      <c r="B174" s="14"/>
      <c r="C174" s="14"/>
      <c r="D174" s="14"/>
    </row>
    <row r="175" customFormat="false" ht="15" hidden="false" customHeight="false" outlineLevel="0" collapsed="false">
      <c r="A175" s="17"/>
      <c r="B175" s="14"/>
      <c r="C175" s="14"/>
      <c r="D175" s="14"/>
    </row>
    <row r="176" customFormat="false" ht="15" hidden="false" customHeight="false" outlineLevel="0" collapsed="false">
      <c r="A176" s="17"/>
      <c r="B176" s="14"/>
      <c r="C176" s="14"/>
      <c r="D176" s="14"/>
    </row>
    <row r="177" customFormat="false" ht="15" hidden="false" customHeight="false" outlineLevel="0" collapsed="false">
      <c r="A177" s="17"/>
      <c r="B177" s="14"/>
      <c r="C177" s="14"/>
      <c r="D177" s="14"/>
    </row>
    <row r="178" customFormat="false" ht="15" hidden="false" customHeight="false" outlineLevel="0" collapsed="false">
      <c r="A178" s="17"/>
      <c r="B178" s="14"/>
      <c r="C178" s="14"/>
      <c r="D178" s="14"/>
    </row>
    <row r="179" customFormat="false" ht="15" hidden="false" customHeight="false" outlineLevel="0" collapsed="false">
      <c r="A179" s="17"/>
      <c r="B179" s="14"/>
      <c r="C179" s="14"/>
      <c r="D179" s="14"/>
    </row>
    <row r="180" customFormat="false" ht="15" hidden="false" customHeight="false" outlineLevel="0" collapsed="false">
      <c r="A180" s="17"/>
      <c r="B180" s="14"/>
      <c r="C180" s="14"/>
      <c r="D180" s="14"/>
    </row>
    <row r="181" customFormat="false" ht="15" hidden="false" customHeight="false" outlineLevel="0" collapsed="false">
      <c r="A181" s="17"/>
      <c r="B181" s="14"/>
      <c r="C181" s="14"/>
      <c r="D181" s="14"/>
    </row>
    <row r="182" customFormat="false" ht="15" hidden="false" customHeight="false" outlineLevel="0" collapsed="false">
      <c r="A182" s="17"/>
      <c r="B182" s="14"/>
      <c r="C182" s="14"/>
      <c r="D182" s="14"/>
    </row>
    <row r="183" customFormat="false" ht="15" hidden="false" customHeight="false" outlineLevel="0" collapsed="false">
      <c r="A183" s="17"/>
      <c r="B183" s="14"/>
      <c r="C183" s="14"/>
      <c r="D183" s="14"/>
    </row>
    <row r="184" customFormat="false" ht="15" hidden="false" customHeight="false" outlineLevel="0" collapsed="false">
      <c r="A184" s="17"/>
      <c r="B184" s="14"/>
      <c r="C184" s="14"/>
      <c r="D184" s="14"/>
    </row>
    <row r="185" customFormat="false" ht="15" hidden="false" customHeight="false" outlineLevel="0" collapsed="false">
      <c r="A185" s="17"/>
      <c r="B185" s="14"/>
      <c r="C185" s="14"/>
      <c r="D185" s="14"/>
    </row>
    <row r="186" customFormat="false" ht="15" hidden="false" customHeight="false" outlineLevel="0" collapsed="false">
      <c r="A186" s="17"/>
      <c r="B186" s="14"/>
      <c r="C186" s="14"/>
      <c r="D186" s="14"/>
    </row>
    <row r="187" customFormat="false" ht="15" hidden="false" customHeight="false" outlineLevel="0" collapsed="false">
      <c r="A187" s="17"/>
      <c r="B187" s="14"/>
      <c r="C187" s="14"/>
      <c r="D187" s="14"/>
    </row>
    <row r="188" customFormat="false" ht="15" hidden="false" customHeight="false" outlineLevel="0" collapsed="false">
      <c r="A188" s="17"/>
      <c r="B188" s="14"/>
      <c r="C188" s="14"/>
      <c r="D188" s="14"/>
    </row>
    <row r="189" customFormat="false" ht="15" hidden="false" customHeight="false" outlineLevel="0" collapsed="false">
      <c r="A189" s="17"/>
      <c r="B189" s="14"/>
      <c r="C189" s="14"/>
      <c r="D189" s="14"/>
    </row>
    <row r="190" customFormat="false" ht="15" hidden="false" customHeight="false" outlineLevel="0" collapsed="false">
      <c r="A190" s="17"/>
      <c r="B190" s="14"/>
      <c r="C190" s="14"/>
      <c r="D190" s="14"/>
    </row>
    <row r="191" customFormat="false" ht="15" hidden="false" customHeight="false" outlineLevel="0" collapsed="false">
      <c r="A191" s="17"/>
      <c r="B191" s="14"/>
      <c r="C191" s="14"/>
      <c r="D191" s="14"/>
    </row>
    <row r="192" customFormat="false" ht="15" hidden="false" customHeight="false" outlineLevel="0" collapsed="false">
      <c r="A192" s="17"/>
      <c r="B192" s="14"/>
      <c r="C192" s="14"/>
      <c r="D192" s="14"/>
    </row>
    <row r="193" customFormat="false" ht="15" hidden="false" customHeight="false" outlineLevel="0" collapsed="false">
      <c r="A193" s="17"/>
      <c r="B193" s="14"/>
      <c r="C193" s="14"/>
      <c r="D193" s="14"/>
    </row>
    <row r="194" customFormat="false" ht="15" hidden="false" customHeight="false" outlineLevel="0" collapsed="false">
      <c r="A194" s="17"/>
      <c r="B194" s="14"/>
      <c r="C194" s="14"/>
      <c r="D194" s="14"/>
    </row>
    <row r="195" customFormat="false" ht="15" hidden="false" customHeight="false" outlineLevel="0" collapsed="false">
      <c r="A195" s="17"/>
      <c r="B195" s="14"/>
      <c r="C195" s="14"/>
      <c r="D195" s="14"/>
    </row>
    <row r="196" customFormat="false" ht="15" hidden="false" customHeight="false" outlineLevel="0" collapsed="false">
      <c r="A196" s="17"/>
      <c r="B196" s="14"/>
      <c r="C196" s="14"/>
      <c r="D196" s="14"/>
    </row>
    <row r="197" customFormat="false" ht="15" hidden="false" customHeight="false" outlineLevel="0" collapsed="false">
      <c r="A197" s="17"/>
      <c r="B197" s="14"/>
      <c r="C197" s="14"/>
      <c r="D197" s="14"/>
    </row>
    <row r="198" customFormat="false" ht="15" hidden="false" customHeight="false" outlineLevel="0" collapsed="false">
      <c r="A198" s="17"/>
      <c r="B198" s="14"/>
      <c r="C198" s="14"/>
      <c r="D198" s="14"/>
    </row>
    <row r="199" customFormat="false" ht="15" hidden="false" customHeight="false" outlineLevel="0" collapsed="false">
      <c r="A199" s="17"/>
      <c r="B199" s="14"/>
      <c r="C199" s="14"/>
      <c r="D199" s="14"/>
    </row>
    <row r="200" customFormat="false" ht="15" hidden="false" customHeight="false" outlineLevel="0" collapsed="false">
      <c r="A200" s="17"/>
      <c r="B200" s="14"/>
      <c r="C200" s="14"/>
      <c r="D200" s="14"/>
    </row>
    <row r="201" customFormat="false" ht="15" hidden="false" customHeight="false" outlineLevel="0" collapsed="false">
      <c r="A201" s="17"/>
      <c r="B201" s="14"/>
      <c r="C201" s="14"/>
      <c r="D201" s="14"/>
    </row>
    <row r="202" customFormat="false" ht="15" hidden="false" customHeight="false" outlineLevel="0" collapsed="false">
      <c r="A202" s="17"/>
      <c r="B202" s="14"/>
      <c r="C202" s="14"/>
      <c r="D202" s="14"/>
    </row>
    <row r="203" customFormat="false" ht="15" hidden="false" customHeight="false" outlineLevel="0" collapsed="false">
      <c r="A203" s="17"/>
      <c r="B203" s="14"/>
      <c r="C203" s="14"/>
      <c r="D203" s="14"/>
    </row>
    <row r="204" customFormat="false" ht="15" hidden="false" customHeight="false" outlineLevel="0" collapsed="false">
      <c r="A204" s="17"/>
      <c r="B204" s="14"/>
      <c r="C204" s="14"/>
      <c r="D204" s="14"/>
    </row>
    <row r="205" customFormat="false" ht="15" hidden="false" customHeight="false" outlineLevel="0" collapsed="false">
      <c r="A205" s="17"/>
      <c r="B205" s="14"/>
      <c r="C205" s="14"/>
      <c r="D205" s="14"/>
    </row>
    <row r="206" customFormat="false" ht="15" hidden="false" customHeight="false" outlineLevel="0" collapsed="false">
      <c r="A206" s="17"/>
      <c r="B206" s="14"/>
      <c r="C206" s="14"/>
      <c r="D206" s="14"/>
    </row>
    <row r="207" customFormat="false" ht="15" hidden="false" customHeight="false" outlineLevel="0" collapsed="false">
      <c r="A207" s="17"/>
      <c r="B207" s="14"/>
      <c r="C207" s="14"/>
      <c r="D207" s="14"/>
    </row>
    <row r="208" customFormat="false" ht="15" hidden="false" customHeight="false" outlineLevel="0" collapsed="false">
      <c r="A208" s="17"/>
      <c r="B208" s="14"/>
      <c r="C208" s="14"/>
      <c r="D208" s="14"/>
    </row>
    <row r="209" customFormat="false" ht="15" hidden="false" customHeight="false" outlineLevel="0" collapsed="false">
      <c r="A209" s="17"/>
      <c r="B209" s="14"/>
      <c r="C209" s="14"/>
      <c r="D209" s="14"/>
    </row>
    <row r="210" customFormat="false" ht="15" hidden="false" customHeight="false" outlineLevel="0" collapsed="false">
      <c r="A210" s="17"/>
      <c r="B210" s="14"/>
      <c r="C210" s="14"/>
      <c r="D210" s="14"/>
    </row>
    <row r="211" customFormat="false" ht="15" hidden="false" customHeight="false" outlineLevel="0" collapsed="false">
      <c r="A211" s="17"/>
      <c r="B211" s="14"/>
      <c r="C211" s="14"/>
      <c r="D211" s="14"/>
    </row>
    <row r="212" customFormat="false" ht="15" hidden="false" customHeight="false" outlineLevel="0" collapsed="false">
      <c r="A212" s="17"/>
      <c r="B212" s="14"/>
      <c r="C212" s="14"/>
      <c r="D212" s="14"/>
    </row>
    <row r="213" customFormat="false" ht="15" hidden="false" customHeight="false" outlineLevel="0" collapsed="false">
      <c r="A213" s="17"/>
      <c r="B213" s="14"/>
      <c r="C213" s="14"/>
      <c r="D213" s="14"/>
    </row>
    <row r="214" customFormat="false" ht="15" hidden="false" customHeight="false" outlineLevel="0" collapsed="false">
      <c r="A214" s="17"/>
      <c r="B214" s="14"/>
      <c r="C214" s="14"/>
      <c r="D214" s="14"/>
    </row>
    <row r="215" customFormat="false" ht="15" hidden="false" customHeight="false" outlineLevel="0" collapsed="false">
      <c r="A215" s="17"/>
      <c r="B215" s="14"/>
      <c r="C215" s="14"/>
      <c r="D215" s="14"/>
    </row>
    <row r="216" customFormat="false" ht="15" hidden="false" customHeight="false" outlineLevel="0" collapsed="false">
      <c r="A216" s="17"/>
      <c r="B216" s="14"/>
      <c r="C216" s="14"/>
      <c r="D216" s="14"/>
    </row>
    <row r="217" customFormat="false" ht="15" hidden="false" customHeight="false" outlineLevel="0" collapsed="false">
      <c r="A217" s="17"/>
      <c r="B217" s="14"/>
      <c r="C217" s="14"/>
      <c r="D217" s="14"/>
    </row>
    <row r="218" customFormat="false" ht="15" hidden="false" customHeight="false" outlineLevel="0" collapsed="false">
      <c r="A218" s="17"/>
      <c r="B218" s="14"/>
      <c r="C218" s="14"/>
      <c r="D218" s="14"/>
    </row>
    <row r="219" customFormat="false" ht="15" hidden="false" customHeight="false" outlineLevel="0" collapsed="false">
      <c r="A219" s="17"/>
      <c r="B219" s="14"/>
      <c r="C219" s="14"/>
      <c r="D219" s="14"/>
    </row>
    <row r="220" customFormat="false" ht="15" hidden="false" customHeight="false" outlineLevel="0" collapsed="false">
      <c r="A220" s="17"/>
      <c r="B220" s="14"/>
      <c r="C220" s="14"/>
      <c r="D220" s="14"/>
    </row>
    <row r="221" customFormat="false" ht="15" hidden="false" customHeight="false" outlineLevel="0" collapsed="false">
      <c r="A221" s="17"/>
      <c r="B221" s="14"/>
      <c r="C221" s="14"/>
      <c r="D221" s="14"/>
    </row>
    <row r="222" customFormat="false" ht="15" hidden="false" customHeight="false" outlineLevel="0" collapsed="false">
      <c r="A222" s="17"/>
      <c r="B222" s="14"/>
      <c r="C222" s="14"/>
      <c r="D222" s="14"/>
    </row>
    <row r="223" customFormat="false" ht="15" hidden="false" customHeight="false" outlineLevel="0" collapsed="false">
      <c r="A223" s="17"/>
      <c r="B223" s="14"/>
      <c r="C223" s="14"/>
      <c r="D223" s="14"/>
    </row>
    <row r="224" customFormat="false" ht="15" hidden="false" customHeight="false" outlineLevel="0" collapsed="false">
      <c r="A224" s="17"/>
      <c r="B224" s="14"/>
      <c r="C224" s="14"/>
      <c r="D224" s="14"/>
    </row>
    <row r="225" customFormat="false" ht="15" hidden="false" customHeight="false" outlineLevel="0" collapsed="false">
      <c r="A225" s="17"/>
      <c r="B225" s="14"/>
      <c r="C225" s="14"/>
      <c r="D225" s="14"/>
    </row>
    <row r="226" customFormat="false" ht="15" hidden="false" customHeight="false" outlineLevel="0" collapsed="false">
      <c r="A226" s="17"/>
      <c r="B226" s="14"/>
      <c r="C226" s="14"/>
      <c r="D226" s="14"/>
    </row>
    <row r="227" customFormat="false" ht="15" hidden="false" customHeight="false" outlineLevel="0" collapsed="false">
      <c r="A227" s="17"/>
      <c r="B227" s="14"/>
      <c r="C227" s="14"/>
      <c r="D227" s="14"/>
    </row>
    <row r="228" customFormat="false" ht="15" hidden="false" customHeight="false" outlineLevel="0" collapsed="false">
      <c r="A228" s="17"/>
      <c r="B228" s="14"/>
      <c r="C228" s="14"/>
      <c r="D228" s="14"/>
    </row>
    <row r="229" customFormat="false" ht="15" hidden="false" customHeight="false" outlineLevel="0" collapsed="false">
      <c r="A229" s="17"/>
      <c r="B229" s="14"/>
      <c r="C229" s="14"/>
      <c r="D229" s="14"/>
    </row>
    <row r="230" customFormat="false" ht="15" hidden="false" customHeight="false" outlineLevel="0" collapsed="false">
      <c r="A230" s="17"/>
      <c r="B230" s="14"/>
      <c r="C230" s="14"/>
      <c r="D230" s="14"/>
    </row>
    <row r="231" customFormat="false" ht="15" hidden="false" customHeight="false" outlineLevel="0" collapsed="false">
      <c r="A231" s="17"/>
      <c r="B231" s="14"/>
      <c r="C231" s="14"/>
      <c r="D231" s="14"/>
    </row>
    <row r="232" customFormat="false" ht="15" hidden="false" customHeight="false" outlineLevel="0" collapsed="false">
      <c r="A232" s="17"/>
      <c r="B232" s="14"/>
      <c r="C232" s="14"/>
      <c r="D232" s="14"/>
    </row>
    <row r="233" customFormat="false" ht="15" hidden="false" customHeight="false" outlineLevel="0" collapsed="false">
      <c r="A233" s="17"/>
      <c r="B233" s="14"/>
      <c r="C233" s="14"/>
      <c r="D233" s="14"/>
    </row>
    <row r="234" customFormat="false" ht="15" hidden="false" customHeight="false" outlineLevel="0" collapsed="false">
      <c r="A234" s="17"/>
      <c r="B234" s="14"/>
      <c r="C234" s="14"/>
      <c r="D234" s="14"/>
    </row>
    <row r="235" customFormat="false" ht="15" hidden="false" customHeight="false" outlineLevel="0" collapsed="false">
      <c r="A235" s="17"/>
      <c r="B235" s="14"/>
      <c r="C235" s="14"/>
      <c r="D235" s="14"/>
    </row>
    <row r="236" customFormat="false" ht="15" hidden="false" customHeight="false" outlineLevel="0" collapsed="false">
      <c r="A236" s="17"/>
      <c r="B236" s="14"/>
      <c r="C236" s="14"/>
      <c r="D236" s="14"/>
    </row>
    <row r="237" customFormat="false" ht="15" hidden="false" customHeight="false" outlineLevel="0" collapsed="false">
      <c r="A237" s="17"/>
      <c r="B237" s="14"/>
      <c r="C237" s="14"/>
      <c r="D237" s="14"/>
    </row>
    <row r="238" customFormat="false" ht="15" hidden="false" customHeight="false" outlineLevel="0" collapsed="false">
      <c r="A238" s="17"/>
      <c r="B238" s="14"/>
      <c r="C238" s="14"/>
      <c r="D238" s="14"/>
    </row>
    <row r="239" customFormat="false" ht="15" hidden="false" customHeight="false" outlineLevel="0" collapsed="false">
      <c r="A239" s="17"/>
      <c r="B239" s="14"/>
      <c r="C239" s="14"/>
      <c r="D239" s="14"/>
    </row>
    <row r="240" customFormat="false" ht="15" hidden="false" customHeight="false" outlineLevel="0" collapsed="false">
      <c r="A240" s="17"/>
      <c r="B240" s="14"/>
      <c r="C240" s="14"/>
      <c r="D240" s="14"/>
    </row>
    <row r="241" customFormat="false" ht="15" hidden="false" customHeight="false" outlineLevel="0" collapsed="false">
      <c r="A241" s="17"/>
      <c r="B241" s="14"/>
      <c r="C241" s="14"/>
      <c r="D241" s="14"/>
    </row>
    <row r="242" customFormat="false" ht="15" hidden="false" customHeight="false" outlineLevel="0" collapsed="false">
      <c r="A242" s="17"/>
      <c r="B242" s="14"/>
      <c r="C242" s="14"/>
      <c r="D242" s="14"/>
    </row>
    <row r="243" customFormat="false" ht="15" hidden="false" customHeight="false" outlineLevel="0" collapsed="false">
      <c r="A243" s="17"/>
      <c r="B243" s="14"/>
      <c r="C243" s="14"/>
      <c r="D243" s="14"/>
    </row>
    <row r="244" customFormat="false" ht="15" hidden="false" customHeight="false" outlineLevel="0" collapsed="false">
      <c r="A244" s="17"/>
      <c r="B244" s="14"/>
      <c r="C244" s="14"/>
      <c r="D244" s="14"/>
    </row>
    <row r="245" customFormat="false" ht="15" hidden="false" customHeight="false" outlineLevel="0" collapsed="false">
      <c r="A245" s="17"/>
      <c r="B245" s="14"/>
      <c r="C245" s="14"/>
      <c r="D245" s="14"/>
    </row>
    <row r="246" customFormat="false" ht="15" hidden="false" customHeight="false" outlineLevel="0" collapsed="false">
      <c r="A246" s="17"/>
      <c r="B246" s="14"/>
      <c r="C246" s="14"/>
      <c r="D246" s="14"/>
    </row>
    <row r="247" customFormat="false" ht="15" hidden="false" customHeight="false" outlineLevel="0" collapsed="false">
      <c r="A247" s="17"/>
      <c r="B247" s="14"/>
      <c r="C247" s="14"/>
      <c r="D247" s="14"/>
    </row>
    <row r="248" customFormat="false" ht="15" hidden="false" customHeight="false" outlineLevel="0" collapsed="false">
      <c r="A248" s="17"/>
      <c r="B248" s="14"/>
      <c r="C248" s="14"/>
      <c r="D248" s="14"/>
    </row>
    <row r="249" customFormat="false" ht="15" hidden="false" customHeight="false" outlineLevel="0" collapsed="false">
      <c r="A249" s="17"/>
      <c r="B249" s="14"/>
      <c r="C249" s="14"/>
      <c r="D249" s="14"/>
    </row>
    <row r="250" customFormat="false" ht="15" hidden="false" customHeight="false" outlineLevel="0" collapsed="false">
      <c r="A250" s="17"/>
      <c r="B250" s="14"/>
      <c r="C250" s="14"/>
      <c r="D250" s="14"/>
    </row>
    <row r="251" customFormat="false" ht="15" hidden="false" customHeight="false" outlineLevel="0" collapsed="false">
      <c r="A251" s="17"/>
      <c r="B251" s="14"/>
      <c r="C251" s="14"/>
      <c r="D251" s="14"/>
    </row>
    <row r="252" customFormat="false" ht="15" hidden="false" customHeight="false" outlineLevel="0" collapsed="false">
      <c r="A252" s="17"/>
      <c r="B252" s="14"/>
      <c r="C252" s="14"/>
      <c r="D252" s="14"/>
    </row>
    <row r="253" customFormat="false" ht="15" hidden="false" customHeight="false" outlineLevel="0" collapsed="false">
      <c r="A253" s="17"/>
      <c r="B253" s="14"/>
      <c r="C253" s="14"/>
      <c r="D253" s="14"/>
    </row>
    <row r="254" customFormat="false" ht="15" hidden="false" customHeight="false" outlineLevel="0" collapsed="false">
      <c r="A254" s="17"/>
      <c r="B254" s="14"/>
      <c r="C254" s="14"/>
      <c r="D254" s="14"/>
    </row>
    <row r="255" customFormat="false" ht="15" hidden="false" customHeight="false" outlineLevel="0" collapsed="false">
      <c r="A255" s="17"/>
      <c r="B255" s="14"/>
      <c r="C255" s="14"/>
      <c r="D255" s="14"/>
    </row>
    <row r="256" customFormat="false" ht="15" hidden="false" customHeight="false" outlineLevel="0" collapsed="false">
      <c r="A256" s="17"/>
      <c r="B256" s="14"/>
      <c r="C256" s="14"/>
      <c r="D256" s="14"/>
    </row>
    <row r="257" customFormat="false" ht="15" hidden="false" customHeight="false" outlineLevel="0" collapsed="false">
      <c r="A257" s="17"/>
      <c r="B257" s="14"/>
      <c r="C257" s="14"/>
      <c r="D257" s="14"/>
    </row>
    <row r="258" customFormat="false" ht="15" hidden="false" customHeight="false" outlineLevel="0" collapsed="false">
      <c r="A258" s="17"/>
      <c r="B258" s="14"/>
      <c r="C258" s="14"/>
      <c r="D258" s="14"/>
    </row>
    <row r="259" customFormat="false" ht="15" hidden="false" customHeight="false" outlineLevel="0" collapsed="false">
      <c r="A259" s="17"/>
      <c r="B259" s="14"/>
      <c r="C259" s="14"/>
      <c r="D259" s="14"/>
    </row>
    <row r="260" customFormat="false" ht="15" hidden="false" customHeight="false" outlineLevel="0" collapsed="false">
      <c r="A260" s="17"/>
      <c r="B260" s="14"/>
      <c r="C260" s="14"/>
      <c r="D260" s="14"/>
    </row>
    <row r="261" customFormat="false" ht="15" hidden="false" customHeight="false" outlineLevel="0" collapsed="false">
      <c r="A261" s="17"/>
      <c r="B261" s="14"/>
      <c r="C261" s="14"/>
      <c r="D261" s="14"/>
    </row>
    <row r="262" customFormat="false" ht="15" hidden="false" customHeight="false" outlineLevel="0" collapsed="false">
      <c r="A262" s="17"/>
      <c r="B262" s="14"/>
      <c r="C262" s="14"/>
      <c r="D262" s="14"/>
    </row>
    <row r="263" customFormat="false" ht="15" hidden="false" customHeight="false" outlineLevel="0" collapsed="false">
      <c r="A263" s="17"/>
      <c r="B263" s="14"/>
      <c r="C263" s="14"/>
      <c r="D263" s="14"/>
    </row>
    <row r="264" customFormat="false" ht="15" hidden="false" customHeight="false" outlineLevel="0" collapsed="false">
      <c r="A264" s="17"/>
      <c r="B264" s="14"/>
      <c r="C264" s="14"/>
      <c r="D264" s="14"/>
    </row>
    <row r="265" customFormat="false" ht="15" hidden="false" customHeight="false" outlineLevel="0" collapsed="false">
      <c r="A265" s="17"/>
      <c r="B265" s="14"/>
      <c r="C265" s="14"/>
      <c r="D265" s="14"/>
    </row>
    <row r="266" customFormat="false" ht="15" hidden="false" customHeight="false" outlineLevel="0" collapsed="false">
      <c r="A266" s="17"/>
      <c r="B266" s="14"/>
      <c r="C266" s="14"/>
      <c r="D266" s="14"/>
    </row>
    <row r="267" customFormat="false" ht="15" hidden="false" customHeight="false" outlineLevel="0" collapsed="false">
      <c r="A267" s="17"/>
      <c r="B267" s="14"/>
      <c r="C267" s="14"/>
      <c r="D267" s="14"/>
    </row>
    <row r="268" customFormat="false" ht="15" hidden="false" customHeight="false" outlineLevel="0" collapsed="false">
      <c r="A268" s="17"/>
      <c r="B268" s="14"/>
      <c r="C268" s="14"/>
      <c r="D268" s="14"/>
    </row>
    <row r="269" customFormat="false" ht="15" hidden="false" customHeight="false" outlineLevel="0" collapsed="false">
      <c r="A269" s="17"/>
      <c r="B269" s="14"/>
      <c r="C269" s="14"/>
      <c r="D269" s="14"/>
    </row>
    <row r="270" customFormat="false" ht="15" hidden="false" customHeight="false" outlineLevel="0" collapsed="false">
      <c r="A270" s="17"/>
      <c r="B270" s="14"/>
      <c r="C270" s="14"/>
      <c r="D270" s="14"/>
    </row>
    <row r="271" customFormat="false" ht="15" hidden="false" customHeight="false" outlineLevel="0" collapsed="false">
      <c r="A271" s="17"/>
      <c r="B271" s="14"/>
      <c r="C271" s="14"/>
      <c r="D271" s="14"/>
    </row>
    <row r="272" customFormat="false" ht="15" hidden="false" customHeight="false" outlineLevel="0" collapsed="false">
      <c r="A272" s="17"/>
      <c r="B272" s="14"/>
      <c r="C272" s="14"/>
      <c r="D272" s="14"/>
    </row>
    <row r="273" customFormat="false" ht="15" hidden="false" customHeight="false" outlineLevel="0" collapsed="false">
      <c r="A273" s="17"/>
      <c r="B273" s="14"/>
      <c r="C273" s="14"/>
      <c r="D273" s="14"/>
    </row>
    <row r="274" customFormat="false" ht="15" hidden="false" customHeight="false" outlineLevel="0" collapsed="false">
      <c r="A274" s="17"/>
      <c r="B274" s="14"/>
      <c r="C274" s="14"/>
      <c r="D274" s="14"/>
    </row>
    <row r="275" customFormat="false" ht="15" hidden="false" customHeight="false" outlineLevel="0" collapsed="false">
      <c r="A275" s="17"/>
      <c r="B275" s="14"/>
      <c r="C275" s="14"/>
      <c r="D275" s="14"/>
    </row>
    <row r="276" customFormat="false" ht="15" hidden="false" customHeight="false" outlineLevel="0" collapsed="false">
      <c r="A276" s="17"/>
      <c r="B276" s="14"/>
      <c r="C276" s="14"/>
      <c r="D276" s="14"/>
    </row>
    <row r="277" customFormat="false" ht="15" hidden="false" customHeight="false" outlineLevel="0" collapsed="false">
      <c r="A277" s="17"/>
      <c r="B277" s="14"/>
      <c r="C277" s="14"/>
      <c r="D277" s="14"/>
    </row>
    <row r="278" customFormat="false" ht="15" hidden="false" customHeight="false" outlineLevel="0" collapsed="false">
      <c r="A278" s="17"/>
      <c r="B278" s="14"/>
      <c r="C278" s="14"/>
      <c r="D278" s="14"/>
    </row>
    <row r="279" customFormat="false" ht="15" hidden="false" customHeight="false" outlineLevel="0" collapsed="false">
      <c r="A279" s="17"/>
      <c r="B279" s="14"/>
      <c r="C279" s="14"/>
      <c r="D279" s="14"/>
    </row>
    <row r="280" customFormat="false" ht="15" hidden="false" customHeight="false" outlineLevel="0" collapsed="false">
      <c r="A280" s="17"/>
      <c r="B280" s="14"/>
      <c r="C280" s="14"/>
      <c r="D280" s="14"/>
    </row>
    <row r="281" customFormat="false" ht="15" hidden="false" customHeight="false" outlineLevel="0" collapsed="false">
      <c r="A281" s="17"/>
      <c r="B281" s="14"/>
      <c r="C281" s="14"/>
      <c r="D281" s="14"/>
    </row>
    <row r="282" customFormat="false" ht="15" hidden="false" customHeight="false" outlineLevel="0" collapsed="false">
      <c r="A282" s="17"/>
      <c r="B282" s="14"/>
      <c r="C282" s="14"/>
      <c r="D282" s="14"/>
    </row>
    <row r="283" customFormat="false" ht="15" hidden="false" customHeight="false" outlineLevel="0" collapsed="false">
      <c r="A283" s="17"/>
      <c r="B283" s="14"/>
      <c r="C283" s="14"/>
      <c r="D283" s="14"/>
    </row>
    <row r="284" customFormat="false" ht="15" hidden="false" customHeight="false" outlineLevel="0" collapsed="false">
      <c r="A284" s="17"/>
      <c r="B284" s="14"/>
      <c r="C284" s="14"/>
      <c r="D284" s="14"/>
    </row>
    <row r="285" customFormat="false" ht="15" hidden="false" customHeight="false" outlineLevel="0" collapsed="false">
      <c r="A285" s="17"/>
      <c r="B285" s="14"/>
      <c r="C285" s="14"/>
      <c r="D285" s="14"/>
    </row>
    <row r="286" customFormat="false" ht="15" hidden="false" customHeight="false" outlineLevel="0" collapsed="false">
      <c r="A286" s="17"/>
      <c r="B286" s="14"/>
      <c r="C286" s="14"/>
      <c r="D286" s="14"/>
    </row>
    <row r="287" customFormat="false" ht="15" hidden="false" customHeight="false" outlineLevel="0" collapsed="false">
      <c r="A287" s="17"/>
      <c r="B287" s="14"/>
      <c r="C287" s="14"/>
      <c r="D287" s="14"/>
    </row>
    <row r="288" customFormat="false" ht="15" hidden="false" customHeight="false" outlineLevel="0" collapsed="false">
      <c r="A288" s="17"/>
      <c r="B288" s="14"/>
      <c r="C288" s="14"/>
      <c r="D288" s="14"/>
    </row>
    <row r="289" customFormat="false" ht="15" hidden="false" customHeight="false" outlineLevel="0" collapsed="false">
      <c r="A289" s="17"/>
      <c r="B289" s="14"/>
      <c r="C289" s="14"/>
      <c r="D289" s="14"/>
    </row>
    <row r="290" customFormat="false" ht="15" hidden="false" customHeight="false" outlineLevel="0" collapsed="false">
      <c r="A290" s="17"/>
      <c r="B290" s="14"/>
      <c r="C290" s="14"/>
      <c r="D290" s="14"/>
    </row>
    <row r="291" customFormat="false" ht="15" hidden="false" customHeight="false" outlineLevel="0" collapsed="false">
      <c r="A291" s="17"/>
      <c r="B291" s="14"/>
      <c r="C291" s="14"/>
      <c r="D291" s="14"/>
    </row>
    <row r="292" customFormat="false" ht="15" hidden="false" customHeight="false" outlineLevel="0" collapsed="false">
      <c r="A292" s="17"/>
      <c r="B292" s="14"/>
      <c r="C292" s="14"/>
      <c r="D292" s="14"/>
    </row>
    <row r="293" customFormat="false" ht="15" hidden="false" customHeight="false" outlineLevel="0" collapsed="false">
      <c r="A293" s="17"/>
      <c r="B293" s="14"/>
      <c r="C293" s="14"/>
      <c r="D293" s="14"/>
    </row>
    <row r="294" customFormat="false" ht="15" hidden="false" customHeight="false" outlineLevel="0" collapsed="false">
      <c r="A294" s="17"/>
      <c r="B294" s="14"/>
      <c r="C294" s="14"/>
      <c r="D294" s="14"/>
    </row>
    <row r="295" customFormat="false" ht="15" hidden="false" customHeight="false" outlineLevel="0" collapsed="false">
      <c r="A295" s="17"/>
      <c r="B295" s="14"/>
      <c r="C295" s="14"/>
      <c r="D295" s="14"/>
    </row>
    <row r="296" customFormat="false" ht="15" hidden="false" customHeight="false" outlineLevel="0" collapsed="false">
      <c r="A296" s="17"/>
      <c r="B296" s="14"/>
      <c r="C296" s="14"/>
      <c r="D296" s="14"/>
    </row>
    <row r="297" customFormat="false" ht="15" hidden="false" customHeight="false" outlineLevel="0" collapsed="false">
      <c r="A297" s="17"/>
      <c r="B297" s="14"/>
      <c r="C297" s="14"/>
      <c r="D297" s="14"/>
    </row>
    <row r="298" customFormat="false" ht="15" hidden="false" customHeight="false" outlineLevel="0" collapsed="false">
      <c r="A298" s="17"/>
      <c r="B298" s="14"/>
      <c r="C298" s="14"/>
      <c r="D298" s="14"/>
    </row>
    <row r="299" customFormat="false" ht="15" hidden="false" customHeight="false" outlineLevel="0" collapsed="false">
      <c r="A299" s="17"/>
      <c r="B299" s="14"/>
      <c r="C299" s="14"/>
      <c r="D299" s="14"/>
    </row>
    <row r="300" customFormat="false" ht="15" hidden="false" customHeight="false" outlineLevel="0" collapsed="false">
      <c r="A300" s="17"/>
      <c r="B300" s="14"/>
      <c r="C300" s="14"/>
      <c r="D300" s="14"/>
    </row>
    <row r="301" customFormat="false" ht="15" hidden="false" customHeight="false" outlineLevel="0" collapsed="false">
      <c r="A301" s="17"/>
      <c r="B301" s="14"/>
      <c r="C301" s="14"/>
      <c r="D301" s="14"/>
    </row>
    <row r="302" customFormat="false" ht="15" hidden="false" customHeight="false" outlineLevel="0" collapsed="false">
      <c r="A302" s="17"/>
      <c r="B302" s="14"/>
      <c r="C302" s="14"/>
      <c r="D302" s="14"/>
    </row>
    <row r="303" customFormat="false" ht="15" hidden="false" customHeight="false" outlineLevel="0" collapsed="false">
      <c r="A303" s="17"/>
      <c r="B303" s="14"/>
      <c r="C303" s="14"/>
      <c r="D303" s="14"/>
    </row>
    <row r="304" customFormat="false" ht="15" hidden="false" customHeight="false" outlineLevel="0" collapsed="false">
      <c r="A304" s="17"/>
      <c r="B304" s="14"/>
      <c r="C304" s="14"/>
      <c r="D304" s="14"/>
    </row>
    <row r="305" customFormat="false" ht="15" hidden="false" customHeight="false" outlineLevel="0" collapsed="false">
      <c r="A305" s="17"/>
      <c r="B305" s="14"/>
      <c r="C305" s="14"/>
      <c r="D305" s="14"/>
    </row>
    <row r="306" customFormat="false" ht="15" hidden="false" customHeight="false" outlineLevel="0" collapsed="false">
      <c r="A306" s="17"/>
      <c r="B306" s="14"/>
      <c r="C306" s="14"/>
      <c r="D306" s="14"/>
    </row>
    <row r="307" customFormat="false" ht="15" hidden="false" customHeight="false" outlineLevel="0" collapsed="false">
      <c r="A307" s="17"/>
      <c r="B307" s="14"/>
      <c r="C307" s="14"/>
      <c r="D307" s="14"/>
    </row>
    <row r="308" customFormat="false" ht="15" hidden="false" customHeight="false" outlineLevel="0" collapsed="false">
      <c r="A308" s="17"/>
      <c r="B308" s="14"/>
      <c r="C308" s="14"/>
      <c r="D308" s="14"/>
    </row>
    <row r="309" customFormat="false" ht="15" hidden="false" customHeight="false" outlineLevel="0" collapsed="false">
      <c r="A309" s="17"/>
      <c r="B309" s="14"/>
      <c r="C309" s="14"/>
      <c r="D309" s="14"/>
    </row>
    <row r="310" customFormat="false" ht="15" hidden="false" customHeight="false" outlineLevel="0" collapsed="false">
      <c r="A310" s="17"/>
      <c r="B310" s="14"/>
      <c r="C310" s="14"/>
      <c r="D310" s="14"/>
    </row>
    <row r="311" customFormat="false" ht="15" hidden="false" customHeight="false" outlineLevel="0" collapsed="false">
      <c r="A311" s="17"/>
      <c r="B311" s="14"/>
      <c r="C311" s="14"/>
      <c r="D311" s="14"/>
    </row>
    <row r="312" customFormat="false" ht="15" hidden="false" customHeight="false" outlineLevel="0" collapsed="false">
      <c r="A312" s="17"/>
      <c r="B312" s="14"/>
      <c r="C312" s="14"/>
      <c r="D312" s="14"/>
    </row>
    <row r="313" customFormat="false" ht="15" hidden="false" customHeight="false" outlineLevel="0" collapsed="false">
      <c r="A313" s="17"/>
      <c r="B313" s="14"/>
      <c r="C313" s="14"/>
      <c r="D313" s="14"/>
    </row>
    <row r="314" customFormat="false" ht="15" hidden="false" customHeight="false" outlineLevel="0" collapsed="false">
      <c r="A314" s="17"/>
      <c r="B314" s="14"/>
      <c r="C314" s="14"/>
      <c r="D314" s="14"/>
    </row>
    <row r="315" customFormat="false" ht="15" hidden="false" customHeight="false" outlineLevel="0" collapsed="false">
      <c r="A315" s="17"/>
      <c r="B315" s="14"/>
      <c r="C315" s="14"/>
      <c r="D315" s="14"/>
    </row>
    <row r="316" customFormat="false" ht="15" hidden="false" customHeight="false" outlineLevel="0" collapsed="false">
      <c r="A316" s="17"/>
      <c r="B316" s="14"/>
      <c r="C316" s="14"/>
      <c r="D316" s="14"/>
    </row>
    <row r="317" customFormat="false" ht="15" hidden="false" customHeight="false" outlineLevel="0" collapsed="false">
      <c r="A317" s="17"/>
      <c r="B317" s="14"/>
      <c r="C317" s="14"/>
      <c r="D317" s="14"/>
    </row>
    <row r="318" customFormat="false" ht="15" hidden="false" customHeight="false" outlineLevel="0" collapsed="false">
      <c r="A318" s="17"/>
      <c r="B318" s="14"/>
      <c r="C318" s="14"/>
      <c r="D318" s="14"/>
    </row>
    <row r="319" customFormat="false" ht="15" hidden="false" customHeight="false" outlineLevel="0" collapsed="false">
      <c r="A319" s="17"/>
      <c r="B319" s="14"/>
      <c r="C319" s="14"/>
      <c r="D319" s="14"/>
    </row>
    <row r="320" customFormat="false" ht="15" hidden="false" customHeight="false" outlineLevel="0" collapsed="false">
      <c r="A320" s="17"/>
      <c r="B320" s="14"/>
      <c r="C320" s="14"/>
      <c r="D320" s="14"/>
    </row>
    <row r="321" customFormat="false" ht="15" hidden="false" customHeight="false" outlineLevel="0" collapsed="false">
      <c r="A321" s="17"/>
      <c r="B321" s="14"/>
      <c r="C321" s="14"/>
      <c r="D321" s="14"/>
    </row>
    <row r="322" customFormat="false" ht="15" hidden="false" customHeight="false" outlineLevel="0" collapsed="false">
      <c r="A322" s="17"/>
      <c r="B322" s="14"/>
      <c r="C322" s="14"/>
      <c r="D322" s="14"/>
    </row>
    <row r="323" customFormat="false" ht="15" hidden="false" customHeight="false" outlineLevel="0" collapsed="false">
      <c r="A323" s="17"/>
      <c r="B323" s="14"/>
      <c r="C323" s="14"/>
      <c r="D323" s="14"/>
    </row>
    <row r="324" customFormat="false" ht="15" hidden="false" customHeight="false" outlineLevel="0" collapsed="false">
      <c r="A324" s="17"/>
      <c r="B324" s="14"/>
      <c r="C324" s="14"/>
      <c r="D324" s="14"/>
    </row>
    <row r="325" customFormat="false" ht="15" hidden="false" customHeight="false" outlineLevel="0" collapsed="false">
      <c r="A325" s="17"/>
      <c r="B325" s="14"/>
      <c r="C325" s="14"/>
      <c r="D325" s="14"/>
    </row>
    <row r="326" customFormat="false" ht="15" hidden="false" customHeight="false" outlineLevel="0" collapsed="false">
      <c r="A326" s="17"/>
      <c r="B326" s="14"/>
      <c r="C326" s="14"/>
      <c r="D326" s="14"/>
    </row>
    <row r="327" customFormat="false" ht="15" hidden="false" customHeight="false" outlineLevel="0" collapsed="false">
      <c r="A327" s="17"/>
      <c r="B327" s="14"/>
      <c r="C327" s="14"/>
      <c r="D327" s="14"/>
    </row>
    <row r="328" customFormat="false" ht="15" hidden="false" customHeight="false" outlineLevel="0" collapsed="false">
      <c r="A328" s="17"/>
      <c r="B328" s="14"/>
      <c r="C328" s="14"/>
      <c r="D328" s="14"/>
    </row>
    <row r="329" customFormat="false" ht="15" hidden="false" customHeight="false" outlineLevel="0" collapsed="false">
      <c r="A329" s="17"/>
      <c r="B329" s="14"/>
      <c r="C329" s="14"/>
      <c r="D329" s="14"/>
    </row>
    <row r="330" customFormat="false" ht="15" hidden="false" customHeight="false" outlineLevel="0" collapsed="false">
      <c r="A330" s="17"/>
      <c r="B330" s="14"/>
      <c r="C330" s="14"/>
      <c r="D330" s="14"/>
    </row>
    <row r="331" customFormat="false" ht="15" hidden="false" customHeight="false" outlineLevel="0" collapsed="false">
      <c r="A331" s="17"/>
      <c r="B331" s="14"/>
      <c r="C331" s="14"/>
      <c r="D331" s="14"/>
    </row>
    <row r="332" customFormat="false" ht="15" hidden="false" customHeight="false" outlineLevel="0" collapsed="false">
      <c r="A332" s="17"/>
      <c r="B332" s="14"/>
      <c r="C332" s="14"/>
      <c r="D332" s="14"/>
    </row>
    <row r="333" customFormat="false" ht="15" hidden="false" customHeight="false" outlineLevel="0" collapsed="false">
      <c r="A333" s="17"/>
      <c r="B333" s="14"/>
      <c r="C333" s="14"/>
      <c r="D333" s="14"/>
    </row>
    <row r="334" customFormat="false" ht="15" hidden="false" customHeight="false" outlineLevel="0" collapsed="false">
      <c r="A334" s="17"/>
      <c r="B334" s="14"/>
      <c r="C334" s="14"/>
      <c r="D334" s="14"/>
    </row>
    <row r="335" customFormat="false" ht="15" hidden="false" customHeight="false" outlineLevel="0" collapsed="false">
      <c r="A335" s="17"/>
      <c r="B335" s="14"/>
      <c r="C335" s="14"/>
      <c r="D335" s="14"/>
    </row>
    <row r="336" customFormat="false" ht="15" hidden="false" customHeight="false" outlineLevel="0" collapsed="false">
      <c r="A336" s="17"/>
      <c r="B336" s="14"/>
      <c r="C336" s="14"/>
      <c r="D336" s="14"/>
    </row>
    <row r="337" customFormat="false" ht="15" hidden="false" customHeight="false" outlineLevel="0" collapsed="false">
      <c r="A337" s="17"/>
      <c r="B337" s="14"/>
      <c r="C337" s="14"/>
      <c r="D337" s="14"/>
    </row>
    <row r="338" customFormat="false" ht="15" hidden="false" customHeight="false" outlineLevel="0" collapsed="false">
      <c r="A338" s="17"/>
      <c r="B338" s="14"/>
      <c r="C338" s="14"/>
      <c r="D338" s="14"/>
    </row>
    <row r="339" customFormat="false" ht="15" hidden="false" customHeight="false" outlineLevel="0" collapsed="false">
      <c r="A339" s="17"/>
      <c r="B339" s="14"/>
      <c r="C339" s="14"/>
      <c r="D339" s="14"/>
    </row>
    <row r="340" customFormat="false" ht="15" hidden="false" customHeight="false" outlineLevel="0" collapsed="false">
      <c r="A340" s="17"/>
      <c r="B340" s="14"/>
      <c r="C340" s="14"/>
      <c r="D340" s="14"/>
    </row>
    <row r="341" customFormat="false" ht="15" hidden="false" customHeight="false" outlineLevel="0" collapsed="false">
      <c r="A341" s="17"/>
      <c r="B341" s="14"/>
      <c r="C341" s="14"/>
      <c r="D341" s="14"/>
    </row>
    <row r="342" customFormat="false" ht="15" hidden="false" customHeight="false" outlineLevel="0" collapsed="false">
      <c r="A342" s="17"/>
      <c r="B342" s="14"/>
      <c r="C342" s="14"/>
      <c r="D342" s="14"/>
    </row>
    <row r="343" customFormat="false" ht="15" hidden="false" customHeight="false" outlineLevel="0" collapsed="false">
      <c r="A343" s="17"/>
      <c r="B343" s="14"/>
      <c r="C343" s="14"/>
      <c r="D343" s="14"/>
    </row>
    <row r="344" customFormat="false" ht="15" hidden="false" customHeight="false" outlineLevel="0" collapsed="false">
      <c r="A344" s="17"/>
      <c r="B344" s="14"/>
      <c r="C344" s="14"/>
      <c r="D344" s="14"/>
    </row>
    <row r="345" customFormat="false" ht="15" hidden="false" customHeight="false" outlineLevel="0" collapsed="false">
      <c r="A345" s="17"/>
      <c r="B345" s="14"/>
      <c r="C345" s="14"/>
      <c r="D345" s="14"/>
    </row>
    <row r="346" customFormat="false" ht="15" hidden="false" customHeight="false" outlineLevel="0" collapsed="false">
      <c r="A346" s="17"/>
      <c r="B346" s="14"/>
      <c r="C346" s="14"/>
      <c r="D346" s="14"/>
    </row>
    <row r="347" customFormat="false" ht="15" hidden="false" customHeight="false" outlineLevel="0" collapsed="false">
      <c r="A347" s="17"/>
      <c r="B347" s="14"/>
      <c r="C347" s="14"/>
      <c r="D347" s="14"/>
    </row>
    <row r="348" customFormat="false" ht="15" hidden="false" customHeight="false" outlineLevel="0" collapsed="false">
      <c r="A348" s="17"/>
      <c r="B348" s="14"/>
      <c r="C348" s="14"/>
      <c r="D348" s="14"/>
    </row>
    <row r="349" customFormat="false" ht="15" hidden="false" customHeight="false" outlineLevel="0" collapsed="false">
      <c r="A349" s="17"/>
      <c r="B349" s="14"/>
      <c r="C349" s="14"/>
      <c r="D349" s="14"/>
    </row>
    <row r="350" customFormat="false" ht="15" hidden="false" customHeight="false" outlineLevel="0" collapsed="false">
      <c r="A350" s="17"/>
      <c r="B350" s="14"/>
      <c r="C350" s="14"/>
      <c r="D350" s="14"/>
    </row>
    <row r="351" customFormat="false" ht="15" hidden="false" customHeight="false" outlineLevel="0" collapsed="false">
      <c r="A351" s="17"/>
      <c r="B351" s="14"/>
      <c r="C351" s="14"/>
      <c r="D351" s="14"/>
    </row>
    <row r="352" customFormat="false" ht="15" hidden="false" customHeight="false" outlineLevel="0" collapsed="false">
      <c r="A352" s="17"/>
      <c r="B352" s="14"/>
      <c r="C352" s="14"/>
      <c r="D352" s="14"/>
    </row>
    <row r="353" customFormat="false" ht="15" hidden="false" customHeight="false" outlineLevel="0" collapsed="false">
      <c r="A353" s="17"/>
      <c r="B353" s="14"/>
      <c r="C353" s="14"/>
      <c r="D353" s="14"/>
    </row>
    <row r="354" customFormat="false" ht="15" hidden="false" customHeight="false" outlineLevel="0" collapsed="false">
      <c r="A354" s="17"/>
      <c r="B354" s="14"/>
      <c r="C354" s="14"/>
      <c r="D354" s="14"/>
    </row>
    <row r="355" customFormat="false" ht="15" hidden="false" customHeight="false" outlineLevel="0" collapsed="false">
      <c r="A355" s="17"/>
      <c r="B355" s="14"/>
      <c r="C355" s="14"/>
      <c r="D355" s="14"/>
    </row>
    <row r="356" customFormat="false" ht="15" hidden="false" customHeight="false" outlineLevel="0" collapsed="false">
      <c r="A356" s="17"/>
      <c r="B356" s="14"/>
      <c r="C356" s="14"/>
      <c r="D356" s="14"/>
    </row>
    <row r="357" customFormat="false" ht="15" hidden="false" customHeight="false" outlineLevel="0" collapsed="false">
      <c r="A357" s="17"/>
      <c r="B357" s="14"/>
      <c r="C357" s="14"/>
      <c r="D357" s="14"/>
    </row>
    <row r="358" customFormat="false" ht="15" hidden="false" customHeight="false" outlineLevel="0" collapsed="false">
      <c r="A358" s="17"/>
      <c r="B358" s="14"/>
      <c r="C358" s="14"/>
      <c r="D358" s="14"/>
    </row>
    <row r="359" customFormat="false" ht="15" hidden="false" customHeight="false" outlineLevel="0" collapsed="false">
      <c r="A359" s="17"/>
      <c r="B359" s="14"/>
      <c r="C359" s="14"/>
      <c r="D359" s="14"/>
    </row>
    <row r="360" customFormat="false" ht="15" hidden="false" customHeight="false" outlineLevel="0" collapsed="false">
      <c r="A360" s="17"/>
      <c r="B360" s="14"/>
      <c r="C360" s="14"/>
      <c r="D360" s="14"/>
    </row>
    <row r="361" customFormat="false" ht="15" hidden="false" customHeight="false" outlineLevel="0" collapsed="false">
      <c r="A361" s="17"/>
      <c r="B361" s="14"/>
      <c r="C361" s="14"/>
      <c r="D361" s="14"/>
    </row>
    <row r="362" customFormat="false" ht="15" hidden="false" customHeight="false" outlineLevel="0" collapsed="false">
      <c r="A362" s="17"/>
      <c r="B362" s="14"/>
      <c r="C362" s="14"/>
      <c r="D362" s="14"/>
    </row>
    <row r="363" customFormat="false" ht="15" hidden="false" customHeight="false" outlineLevel="0" collapsed="false">
      <c r="A363" s="17"/>
      <c r="B363" s="14"/>
      <c r="C363" s="14"/>
      <c r="D363" s="14"/>
    </row>
    <row r="364" customFormat="false" ht="15" hidden="false" customHeight="false" outlineLevel="0" collapsed="false">
      <c r="A364" s="17"/>
      <c r="B364" s="14"/>
      <c r="C364" s="14"/>
      <c r="D364" s="14"/>
    </row>
    <row r="365" customFormat="false" ht="15" hidden="false" customHeight="false" outlineLevel="0" collapsed="false">
      <c r="A365" s="17"/>
      <c r="B365" s="14"/>
      <c r="C365" s="14"/>
      <c r="D365" s="14"/>
    </row>
    <row r="366" customFormat="false" ht="15" hidden="false" customHeight="false" outlineLevel="0" collapsed="false">
      <c r="A366" s="17"/>
      <c r="B366" s="14"/>
      <c r="C366" s="14"/>
      <c r="D366" s="14"/>
    </row>
    <row r="367" customFormat="false" ht="15" hidden="false" customHeight="false" outlineLevel="0" collapsed="false">
      <c r="A367" s="17"/>
      <c r="B367" s="14"/>
      <c r="C367" s="14"/>
      <c r="D367" s="14"/>
    </row>
    <row r="368" customFormat="false" ht="15" hidden="false" customHeight="false" outlineLevel="0" collapsed="false">
      <c r="A368" s="17"/>
      <c r="B368" s="14"/>
      <c r="C368" s="14"/>
      <c r="D368" s="14"/>
    </row>
    <row r="369" customFormat="false" ht="15" hidden="false" customHeight="false" outlineLevel="0" collapsed="false">
      <c r="A369" s="17"/>
      <c r="B369" s="14"/>
      <c r="C369" s="14"/>
      <c r="D369" s="14"/>
    </row>
    <row r="370" customFormat="false" ht="15" hidden="false" customHeight="false" outlineLevel="0" collapsed="false">
      <c r="A370" s="17"/>
      <c r="B370" s="14"/>
      <c r="C370" s="14"/>
      <c r="D370" s="14"/>
    </row>
    <row r="371" customFormat="false" ht="15" hidden="false" customHeight="false" outlineLevel="0" collapsed="false">
      <c r="A371" s="17"/>
      <c r="B371" s="14"/>
      <c r="C371" s="14"/>
      <c r="D371" s="14"/>
    </row>
    <row r="372" customFormat="false" ht="15" hidden="false" customHeight="false" outlineLevel="0" collapsed="false">
      <c r="A372" s="17"/>
      <c r="B372" s="14"/>
      <c r="C372" s="14"/>
      <c r="D372" s="14"/>
    </row>
    <row r="373" customFormat="false" ht="15" hidden="false" customHeight="false" outlineLevel="0" collapsed="false">
      <c r="A373" s="17"/>
      <c r="B373" s="14"/>
      <c r="C373" s="14"/>
      <c r="D373" s="14"/>
    </row>
    <row r="374" customFormat="false" ht="15" hidden="false" customHeight="false" outlineLevel="0" collapsed="false">
      <c r="A374" s="17"/>
      <c r="B374" s="14"/>
      <c r="C374" s="14"/>
      <c r="D374" s="14"/>
    </row>
    <row r="375" customFormat="false" ht="15" hidden="false" customHeight="false" outlineLevel="0" collapsed="false">
      <c r="A375" s="17"/>
      <c r="B375" s="14"/>
      <c r="C375" s="14"/>
      <c r="D375" s="14"/>
    </row>
    <row r="376" customFormat="false" ht="15" hidden="false" customHeight="false" outlineLevel="0" collapsed="false">
      <c r="A376" s="17"/>
      <c r="B376" s="14"/>
      <c r="C376" s="14"/>
      <c r="D376" s="14"/>
    </row>
    <row r="377" customFormat="false" ht="15" hidden="false" customHeight="false" outlineLevel="0" collapsed="false">
      <c r="A377" s="17"/>
      <c r="B377" s="14"/>
      <c r="C377" s="14"/>
      <c r="D377" s="14"/>
    </row>
    <row r="378" customFormat="false" ht="15" hidden="false" customHeight="false" outlineLevel="0" collapsed="false">
      <c r="A378" s="17"/>
      <c r="B378" s="14"/>
      <c r="C378" s="14"/>
      <c r="D378" s="14"/>
    </row>
    <row r="379" customFormat="false" ht="15" hidden="false" customHeight="false" outlineLevel="0" collapsed="false">
      <c r="A379" s="17"/>
      <c r="B379" s="14"/>
      <c r="C379" s="14"/>
      <c r="D379" s="14"/>
    </row>
    <row r="380" customFormat="false" ht="15" hidden="false" customHeight="false" outlineLevel="0" collapsed="false">
      <c r="A380" s="17"/>
      <c r="B380" s="14"/>
      <c r="C380" s="14"/>
      <c r="D380" s="14"/>
    </row>
    <row r="381" customFormat="false" ht="15" hidden="false" customHeight="false" outlineLevel="0" collapsed="false">
      <c r="A381" s="17"/>
      <c r="B381" s="14"/>
      <c r="C381" s="14"/>
      <c r="D381" s="14"/>
    </row>
    <row r="382" customFormat="false" ht="15" hidden="false" customHeight="false" outlineLevel="0" collapsed="false">
      <c r="A382" s="17"/>
      <c r="B382" s="14"/>
      <c r="C382" s="14"/>
      <c r="D382" s="14"/>
    </row>
    <row r="383" customFormat="false" ht="15" hidden="false" customHeight="false" outlineLevel="0" collapsed="false">
      <c r="A383" s="17"/>
      <c r="B383" s="14"/>
      <c r="C383" s="14"/>
      <c r="D383" s="14"/>
    </row>
    <row r="384" customFormat="false" ht="15" hidden="false" customHeight="false" outlineLevel="0" collapsed="false">
      <c r="A384" s="17"/>
      <c r="B384" s="14"/>
      <c r="C384" s="14"/>
      <c r="D384" s="14"/>
    </row>
    <row r="385" customFormat="false" ht="15" hidden="false" customHeight="false" outlineLevel="0" collapsed="false">
      <c r="A385" s="17"/>
      <c r="B385" s="14"/>
      <c r="C385" s="14"/>
      <c r="D385" s="14"/>
    </row>
    <row r="386" customFormat="false" ht="15" hidden="false" customHeight="false" outlineLevel="0" collapsed="false">
      <c r="A386" s="17"/>
      <c r="B386" s="14"/>
      <c r="C386" s="14"/>
      <c r="D386" s="14"/>
    </row>
    <row r="387" customFormat="false" ht="15" hidden="false" customHeight="false" outlineLevel="0" collapsed="false">
      <c r="A387" s="17"/>
      <c r="B387" s="14"/>
      <c r="C387" s="14"/>
      <c r="D387" s="14"/>
    </row>
    <row r="388" customFormat="false" ht="15" hidden="false" customHeight="false" outlineLevel="0" collapsed="false">
      <c r="A388" s="17"/>
      <c r="B388" s="14"/>
      <c r="C388" s="14"/>
      <c r="D388" s="14"/>
    </row>
    <row r="389" customFormat="false" ht="15" hidden="false" customHeight="false" outlineLevel="0" collapsed="false">
      <c r="A389" s="17"/>
      <c r="B389" s="14"/>
      <c r="C389" s="14"/>
      <c r="D389" s="14"/>
    </row>
    <row r="390" customFormat="false" ht="15" hidden="false" customHeight="false" outlineLevel="0" collapsed="false">
      <c r="A390" s="17"/>
      <c r="B390" s="14"/>
      <c r="C390" s="14"/>
      <c r="D390" s="14"/>
    </row>
    <row r="391" customFormat="false" ht="15" hidden="false" customHeight="false" outlineLevel="0" collapsed="false">
      <c r="A391" s="17"/>
      <c r="B391" s="14"/>
      <c r="C391" s="14"/>
      <c r="D391" s="14"/>
    </row>
    <row r="392" customFormat="false" ht="15" hidden="false" customHeight="false" outlineLevel="0" collapsed="false">
      <c r="A392" s="17"/>
      <c r="B392" s="14"/>
      <c r="C392" s="14"/>
      <c r="D392" s="14"/>
    </row>
    <row r="393" customFormat="false" ht="15" hidden="false" customHeight="false" outlineLevel="0" collapsed="false">
      <c r="A393" s="17"/>
      <c r="B393" s="14"/>
      <c r="C393" s="14"/>
      <c r="D393" s="14"/>
    </row>
    <row r="394" customFormat="false" ht="15" hidden="false" customHeight="false" outlineLevel="0" collapsed="false">
      <c r="A394" s="17"/>
      <c r="B394" s="14"/>
      <c r="C394" s="14"/>
      <c r="D394" s="14"/>
    </row>
    <row r="395" customFormat="false" ht="15" hidden="false" customHeight="false" outlineLevel="0" collapsed="false">
      <c r="A395" s="17"/>
      <c r="B395" s="14"/>
      <c r="C395" s="14"/>
      <c r="D395" s="14"/>
    </row>
    <row r="396" customFormat="false" ht="15" hidden="false" customHeight="false" outlineLevel="0" collapsed="false">
      <c r="A396" s="17"/>
      <c r="B396" s="14"/>
      <c r="C396" s="14"/>
      <c r="D396" s="14"/>
    </row>
    <row r="397" customFormat="false" ht="15" hidden="false" customHeight="false" outlineLevel="0" collapsed="false">
      <c r="A397" s="17"/>
      <c r="B397" s="14"/>
      <c r="C397" s="14"/>
      <c r="D397" s="14"/>
    </row>
    <row r="398" customFormat="false" ht="15" hidden="false" customHeight="false" outlineLevel="0" collapsed="false">
      <c r="A398" s="17"/>
      <c r="B398" s="14"/>
      <c r="C398" s="14"/>
      <c r="D398" s="14"/>
    </row>
    <row r="399" customFormat="false" ht="15" hidden="false" customHeight="false" outlineLevel="0" collapsed="false">
      <c r="A399" s="17"/>
      <c r="B399" s="14"/>
      <c r="C399" s="14"/>
      <c r="D399" s="14"/>
    </row>
    <row r="400" customFormat="false" ht="15" hidden="false" customHeight="false" outlineLevel="0" collapsed="false">
      <c r="A400" s="17"/>
      <c r="B400" s="14"/>
      <c r="C400" s="14"/>
      <c r="D40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31.5" hidden="false" customHeight="true" outlineLevel="0" collapsed="false">
      <c r="A4" s="11" t="s">
        <v>106</v>
      </c>
      <c r="B4" s="11" t="s">
        <v>107</v>
      </c>
      <c r="C4" s="11" t="s">
        <v>113</v>
      </c>
      <c r="D4" s="11" t="s">
        <v>114</v>
      </c>
      <c r="E4" s="11" t="s">
        <v>115</v>
      </c>
      <c r="F4" s="11" t="s">
        <v>116</v>
      </c>
      <c r="G4" s="11" t="s">
        <v>117</v>
      </c>
    </row>
    <row r="5" customFormat="false" ht="15" hidden="false" customHeight="false" outlineLevel="0" collapsed="false">
      <c r="A5" s="17" t="n">
        <v>46329</v>
      </c>
      <c r="B5" s="14" t="s">
        <v>97</v>
      </c>
      <c r="C5" s="14" t="s">
        <v>118</v>
      </c>
      <c r="D5" s="13" t="n">
        <v>6250</v>
      </c>
      <c r="E5" s="14" t="s">
        <v>119</v>
      </c>
      <c r="F5" s="14" t="s">
        <v>120</v>
      </c>
      <c r="G5" s="14" t="s">
        <v>121</v>
      </c>
    </row>
    <row r="6" customFormat="false" ht="15" hidden="false" customHeight="false" outlineLevel="0" collapsed="false">
      <c r="A6" s="17"/>
      <c r="B6" s="14"/>
      <c r="C6" s="14"/>
      <c r="D6" s="13"/>
      <c r="E6" s="14"/>
      <c r="F6" s="14"/>
      <c r="G6" s="14"/>
    </row>
    <row r="7" customFormat="false" ht="15" hidden="false" customHeight="false" outlineLevel="0" collapsed="false">
      <c r="A7" s="17"/>
      <c r="B7" s="14"/>
      <c r="C7" s="14"/>
      <c r="D7" s="13"/>
      <c r="E7" s="14"/>
      <c r="F7" s="14"/>
      <c r="G7" s="14"/>
    </row>
    <row r="8" customFormat="false" ht="15" hidden="false" customHeight="false" outlineLevel="0" collapsed="false">
      <c r="A8" s="17"/>
      <c r="B8" s="14"/>
      <c r="C8" s="14"/>
      <c r="D8" s="13"/>
      <c r="E8" s="14"/>
      <c r="F8" s="14"/>
      <c r="G8" s="14"/>
    </row>
    <row r="9" customFormat="false" ht="15" hidden="false" customHeight="false" outlineLevel="0" collapsed="false">
      <c r="A9" s="17"/>
      <c r="B9" s="14"/>
      <c r="C9" s="14"/>
      <c r="D9" s="13"/>
      <c r="E9" s="14"/>
      <c r="F9" s="14"/>
      <c r="G9" s="14"/>
    </row>
    <row r="10" customFormat="false" ht="15" hidden="false" customHeight="false" outlineLevel="0" collapsed="false">
      <c r="A10" s="17"/>
      <c r="B10" s="14"/>
      <c r="C10" s="14"/>
      <c r="D10" s="13"/>
      <c r="E10" s="14"/>
      <c r="F10" s="14"/>
      <c r="G10" s="14"/>
    </row>
    <row r="11" customFormat="false" ht="15" hidden="false" customHeight="false" outlineLevel="0" collapsed="false">
      <c r="A11" s="17"/>
      <c r="B11" s="14"/>
      <c r="C11" s="14"/>
      <c r="D11" s="13"/>
      <c r="E11" s="14"/>
      <c r="F11" s="14"/>
      <c r="G11" s="14"/>
    </row>
    <row r="12" customFormat="false" ht="15" hidden="false" customHeight="false" outlineLevel="0" collapsed="false">
      <c r="A12" s="17"/>
      <c r="B12" s="14"/>
      <c r="C12" s="14"/>
      <c r="D12" s="13"/>
      <c r="E12" s="14"/>
      <c r="F12" s="14"/>
      <c r="G12" s="14"/>
    </row>
    <row r="13" customFormat="false" ht="15" hidden="false" customHeight="false" outlineLevel="0" collapsed="false">
      <c r="A13" s="17"/>
      <c r="B13" s="14"/>
      <c r="C13" s="14"/>
      <c r="D13" s="13"/>
      <c r="E13" s="14"/>
      <c r="F13" s="14"/>
      <c r="G13" s="14"/>
    </row>
    <row r="14" customFormat="false" ht="15" hidden="false" customHeight="false" outlineLevel="0" collapsed="false">
      <c r="A14" s="17"/>
      <c r="B14" s="14"/>
      <c r="C14" s="14"/>
      <c r="D14" s="13"/>
      <c r="E14" s="14"/>
      <c r="F14" s="14"/>
      <c r="G14" s="14"/>
    </row>
    <row r="15" customFormat="false" ht="15" hidden="false" customHeight="false" outlineLevel="0" collapsed="false">
      <c r="A15" s="17"/>
      <c r="B15" s="14"/>
      <c r="C15" s="14"/>
      <c r="D15" s="13"/>
      <c r="E15" s="14"/>
      <c r="F15" s="14"/>
      <c r="G15" s="14"/>
    </row>
    <row r="16" customFormat="false" ht="15" hidden="false" customHeight="false" outlineLevel="0" collapsed="false">
      <c r="A16" s="17"/>
      <c r="B16" s="14"/>
      <c r="C16" s="14"/>
      <c r="D16" s="13"/>
      <c r="E16" s="14"/>
      <c r="F16" s="14"/>
      <c r="G16" s="14"/>
    </row>
    <row r="17" customFormat="false" ht="15" hidden="false" customHeight="false" outlineLevel="0" collapsed="false">
      <c r="A17" s="17"/>
      <c r="B17" s="14"/>
      <c r="C17" s="14"/>
      <c r="D17" s="13"/>
      <c r="E17" s="14"/>
      <c r="F17" s="14"/>
      <c r="G17" s="14"/>
    </row>
    <row r="18" customFormat="false" ht="15" hidden="false" customHeight="false" outlineLevel="0" collapsed="false">
      <c r="A18" s="17"/>
      <c r="B18" s="14"/>
      <c r="C18" s="14"/>
      <c r="D18" s="13"/>
      <c r="E18" s="14"/>
      <c r="F18" s="14"/>
      <c r="G18" s="14"/>
    </row>
    <row r="19" customFormat="false" ht="15" hidden="false" customHeight="false" outlineLevel="0" collapsed="false">
      <c r="A19" s="17"/>
      <c r="B19" s="14"/>
      <c r="C19" s="14"/>
      <c r="D19" s="13"/>
      <c r="E19" s="14"/>
      <c r="F19" s="14"/>
      <c r="G19" s="14"/>
    </row>
    <row r="20" customFormat="false" ht="15" hidden="false" customHeight="false" outlineLevel="0" collapsed="false">
      <c r="A20" s="17"/>
      <c r="B20" s="14"/>
      <c r="C20" s="14"/>
      <c r="D20" s="13"/>
      <c r="E20" s="14"/>
      <c r="F20" s="14"/>
      <c r="G20" s="14"/>
    </row>
    <row r="21" customFormat="false" ht="15" hidden="false" customHeight="false" outlineLevel="0" collapsed="false">
      <c r="A21" s="17"/>
      <c r="B21" s="14"/>
      <c r="C21" s="14"/>
      <c r="D21" s="13"/>
      <c r="E21" s="14"/>
      <c r="F21" s="14"/>
      <c r="G21" s="14"/>
    </row>
    <row r="22" customFormat="false" ht="15" hidden="false" customHeight="false" outlineLevel="0" collapsed="false">
      <c r="A22" s="17"/>
      <c r="B22" s="14"/>
      <c r="C22" s="14"/>
      <c r="D22" s="13"/>
      <c r="E22" s="14"/>
      <c r="F22" s="14"/>
      <c r="G22" s="14"/>
    </row>
    <row r="23" customFormat="false" ht="15" hidden="false" customHeight="false" outlineLevel="0" collapsed="false">
      <c r="A23" s="17"/>
      <c r="B23" s="14"/>
      <c r="C23" s="14"/>
      <c r="D23" s="13"/>
      <c r="E23" s="14"/>
      <c r="F23" s="14"/>
      <c r="G23" s="14"/>
    </row>
    <row r="24" customFormat="false" ht="15" hidden="false" customHeight="false" outlineLevel="0" collapsed="false">
      <c r="A24" s="17"/>
      <c r="B24" s="14"/>
      <c r="C24" s="14"/>
      <c r="D24" s="13"/>
      <c r="E24" s="14"/>
      <c r="F24" s="14"/>
      <c r="G24" s="14"/>
    </row>
    <row r="25" customFormat="false" ht="15" hidden="false" customHeight="false" outlineLevel="0" collapsed="false">
      <c r="A25" s="17"/>
      <c r="B25" s="14"/>
      <c r="C25" s="14"/>
      <c r="D25" s="13"/>
      <c r="E25" s="14"/>
      <c r="F25" s="14"/>
      <c r="G25" s="14"/>
    </row>
    <row r="26" customFormat="false" ht="15" hidden="false" customHeight="false" outlineLevel="0" collapsed="false">
      <c r="A26" s="17"/>
      <c r="B26" s="14"/>
      <c r="C26" s="14"/>
      <c r="D26" s="13"/>
      <c r="E26" s="14"/>
      <c r="F26" s="14"/>
      <c r="G26" s="14"/>
    </row>
    <row r="27" customFormat="false" ht="15" hidden="false" customHeight="false" outlineLevel="0" collapsed="false">
      <c r="A27" s="17"/>
      <c r="B27" s="14"/>
      <c r="C27" s="14"/>
      <c r="D27" s="13"/>
      <c r="E27" s="14"/>
      <c r="F27" s="14"/>
      <c r="G27" s="14"/>
    </row>
    <row r="28" customFormat="false" ht="15" hidden="false" customHeight="false" outlineLevel="0" collapsed="false">
      <c r="A28" s="17"/>
      <c r="B28" s="14"/>
      <c r="C28" s="14"/>
      <c r="D28" s="13"/>
      <c r="E28" s="14"/>
      <c r="F28" s="14"/>
      <c r="G28" s="14"/>
    </row>
    <row r="29" customFormat="false" ht="15" hidden="false" customHeight="false" outlineLevel="0" collapsed="false">
      <c r="A29" s="17"/>
      <c r="B29" s="14"/>
      <c r="C29" s="14"/>
      <c r="D29" s="13"/>
      <c r="E29" s="14"/>
      <c r="F29" s="14"/>
      <c r="G29" s="14"/>
    </row>
    <row r="30" customFormat="false" ht="15" hidden="false" customHeight="false" outlineLevel="0" collapsed="false">
      <c r="A30" s="17"/>
      <c r="B30" s="14"/>
      <c r="C30" s="14"/>
      <c r="D30" s="13"/>
      <c r="E30" s="14"/>
      <c r="F30" s="14"/>
      <c r="G30" s="14"/>
    </row>
    <row r="31" customFormat="false" ht="15" hidden="false" customHeight="false" outlineLevel="0" collapsed="false">
      <c r="A31" s="17"/>
      <c r="B31" s="14"/>
      <c r="C31" s="14"/>
      <c r="D31" s="13"/>
      <c r="E31" s="14"/>
      <c r="F31" s="14"/>
      <c r="G31" s="14"/>
    </row>
    <row r="32" customFormat="false" ht="15" hidden="false" customHeight="false" outlineLevel="0" collapsed="false">
      <c r="A32" s="17"/>
      <c r="B32" s="14"/>
      <c r="C32" s="14"/>
      <c r="D32" s="13"/>
      <c r="E32" s="14"/>
      <c r="F32" s="14"/>
      <c r="G32" s="14"/>
    </row>
    <row r="33" customFormat="false" ht="15" hidden="false" customHeight="false" outlineLevel="0" collapsed="false">
      <c r="A33" s="17"/>
      <c r="B33" s="14"/>
      <c r="C33" s="14"/>
      <c r="D33" s="13"/>
      <c r="E33" s="14"/>
      <c r="F33" s="14"/>
      <c r="G33" s="14"/>
    </row>
    <row r="34" customFormat="false" ht="15" hidden="false" customHeight="false" outlineLevel="0" collapsed="false">
      <c r="A34" s="17"/>
      <c r="B34" s="14"/>
      <c r="C34" s="14"/>
      <c r="D34" s="13"/>
      <c r="E34" s="14"/>
      <c r="F34" s="14"/>
      <c r="G34" s="14"/>
    </row>
    <row r="35" customFormat="false" ht="15" hidden="false" customHeight="false" outlineLevel="0" collapsed="false">
      <c r="A35" s="17"/>
      <c r="B35" s="14"/>
      <c r="C35" s="14"/>
      <c r="D35" s="13"/>
      <c r="E35" s="14"/>
      <c r="F35" s="14"/>
      <c r="G35" s="14"/>
    </row>
    <row r="36" customFormat="false" ht="15" hidden="false" customHeight="false" outlineLevel="0" collapsed="false">
      <c r="A36" s="17"/>
      <c r="B36" s="14"/>
      <c r="C36" s="14"/>
      <c r="D36" s="13"/>
      <c r="E36" s="14"/>
      <c r="F36" s="14"/>
      <c r="G36" s="14"/>
    </row>
    <row r="37" customFormat="false" ht="15" hidden="false" customHeight="false" outlineLevel="0" collapsed="false">
      <c r="A37" s="17"/>
      <c r="B37" s="14"/>
      <c r="C37" s="14"/>
      <c r="D37" s="13"/>
      <c r="E37" s="14"/>
      <c r="F37" s="14"/>
      <c r="G37" s="14"/>
    </row>
    <row r="38" customFormat="false" ht="15" hidden="false" customHeight="false" outlineLevel="0" collapsed="false">
      <c r="A38" s="17"/>
      <c r="B38" s="14"/>
      <c r="C38" s="14"/>
      <c r="D38" s="13"/>
      <c r="E38" s="14"/>
      <c r="F38" s="14"/>
      <c r="G38" s="14"/>
    </row>
    <row r="39" customFormat="false" ht="15" hidden="false" customHeight="false" outlineLevel="0" collapsed="false">
      <c r="A39" s="17"/>
      <c r="B39" s="14"/>
      <c r="C39" s="14"/>
      <c r="D39" s="13"/>
      <c r="E39" s="14"/>
      <c r="F39" s="14"/>
      <c r="G39" s="14"/>
    </row>
    <row r="40" customFormat="false" ht="15" hidden="false" customHeight="false" outlineLevel="0" collapsed="false">
      <c r="A40" s="17"/>
      <c r="B40" s="14"/>
      <c r="C40" s="14"/>
      <c r="D40" s="13"/>
      <c r="E40" s="14"/>
      <c r="F40" s="14"/>
      <c r="G40" s="14"/>
    </row>
    <row r="41" customFormat="false" ht="15" hidden="false" customHeight="false" outlineLevel="0" collapsed="false">
      <c r="A41" s="17"/>
      <c r="B41" s="14"/>
      <c r="C41" s="14"/>
      <c r="D41" s="13"/>
      <c r="E41" s="14"/>
      <c r="F41" s="14"/>
      <c r="G41" s="14"/>
    </row>
    <row r="42" customFormat="false" ht="15" hidden="false" customHeight="false" outlineLevel="0" collapsed="false">
      <c r="A42" s="17"/>
      <c r="B42" s="14"/>
      <c r="C42" s="14"/>
      <c r="D42" s="13"/>
      <c r="E42" s="14"/>
      <c r="F42" s="14"/>
      <c r="G42" s="14"/>
    </row>
    <row r="43" customFormat="false" ht="15" hidden="false" customHeight="false" outlineLevel="0" collapsed="false">
      <c r="A43" s="17"/>
      <c r="B43" s="14"/>
      <c r="C43" s="14"/>
      <c r="D43" s="13"/>
      <c r="E43" s="14"/>
      <c r="F43" s="14"/>
      <c r="G43" s="14"/>
    </row>
    <row r="44" customFormat="false" ht="15" hidden="false" customHeight="false" outlineLevel="0" collapsed="false">
      <c r="A44" s="17"/>
      <c r="B44" s="14"/>
      <c r="C44" s="14"/>
      <c r="D44" s="13"/>
      <c r="E44" s="14"/>
      <c r="F44" s="14"/>
      <c r="G44" s="14"/>
    </row>
    <row r="45" customFormat="false" ht="15" hidden="false" customHeight="false" outlineLevel="0" collapsed="false">
      <c r="A45" s="17"/>
      <c r="B45" s="14"/>
      <c r="C45" s="14"/>
      <c r="D45" s="13"/>
      <c r="E45" s="14"/>
      <c r="F45" s="14"/>
      <c r="G45" s="14"/>
    </row>
    <row r="46" customFormat="false" ht="15" hidden="false" customHeight="false" outlineLevel="0" collapsed="false">
      <c r="A46" s="17"/>
      <c r="B46" s="14"/>
      <c r="C46" s="14"/>
      <c r="D46" s="13"/>
      <c r="E46" s="14"/>
      <c r="F46" s="14"/>
      <c r="G46" s="14"/>
    </row>
    <row r="47" customFormat="false" ht="15" hidden="false" customHeight="false" outlineLevel="0" collapsed="false">
      <c r="A47" s="17"/>
      <c r="B47" s="14"/>
      <c r="C47" s="14"/>
      <c r="D47" s="13"/>
      <c r="E47" s="14"/>
      <c r="F47" s="14"/>
      <c r="G47" s="14"/>
    </row>
    <row r="48" customFormat="false" ht="15" hidden="false" customHeight="false" outlineLevel="0" collapsed="false">
      <c r="A48" s="17"/>
      <c r="B48" s="14"/>
      <c r="C48" s="14"/>
      <c r="D48" s="13"/>
      <c r="E48" s="14"/>
      <c r="F48" s="14"/>
      <c r="G48" s="14"/>
    </row>
    <row r="49" customFormat="false" ht="15" hidden="false" customHeight="false" outlineLevel="0" collapsed="false">
      <c r="A49" s="17"/>
      <c r="B49" s="14"/>
      <c r="C49" s="14"/>
      <c r="D49" s="13"/>
      <c r="E49" s="14"/>
      <c r="F49" s="14"/>
      <c r="G49" s="14"/>
    </row>
    <row r="50" customFormat="false" ht="15" hidden="false" customHeight="false" outlineLevel="0" collapsed="false">
      <c r="A50" s="17"/>
      <c r="B50" s="14"/>
      <c r="C50" s="14"/>
      <c r="D50" s="13"/>
      <c r="E50" s="14"/>
      <c r="F50" s="14"/>
      <c r="G50" s="14"/>
    </row>
    <row r="51" customFormat="false" ht="15" hidden="false" customHeight="false" outlineLevel="0" collapsed="false">
      <c r="A51" s="17"/>
      <c r="B51" s="14"/>
      <c r="C51" s="14"/>
      <c r="D51" s="13"/>
      <c r="E51" s="14"/>
      <c r="F51" s="14"/>
      <c r="G51" s="14"/>
    </row>
    <row r="52" customFormat="false" ht="15" hidden="false" customHeight="false" outlineLevel="0" collapsed="false">
      <c r="A52" s="17"/>
      <c r="B52" s="14"/>
      <c r="C52" s="14"/>
      <c r="D52" s="13"/>
      <c r="E52" s="14"/>
      <c r="F52" s="14"/>
      <c r="G52" s="14"/>
    </row>
    <row r="53" customFormat="false" ht="15" hidden="false" customHeight="false" outlineLevel="0" collapsed="false">
      <c r="A53" s="17"/>
      <c r="B53" s="14"/>
      <c r="C53" s="14"/>
      <c r="D53" s="13"/>
      <c r="E53" s="14"/>
      <c r="F53" s="14"/>
      <c r="G53" s="14"/>
    </row>
    <row r="54" customFormat="false" ht="15" hidden="false" customHeight="false" outlineLevel="0" collapsed="false">
      <c r="A54" s="17"/>
      <c r="B54" s="14"/>
      <c r="C54" s="14"/>
      <c r="D54" s="13"/>
      <c r="E54" s="14"/>
      <c r="F54" s="14"/>
      <c r="G54" s="14"/>
    </row>
    <row r="55" customFormat="false" ht="15" hidden="false" customHeight="false" outlineLevel="0" collapsed="false">
      <c r="A55" s="17"/>
      <c r="B55" s="14"/>
      <c r="C55" s="14"/>
      <c r="D55" s="13"/>
      <c r="E55" s="14"/>
      <c r="F55" s="14"/>
      <c r="G55" s="14"/>
    </row>
    <row r="56" customFormat="false" ht="15" hidden="false" customHeight="false" outlineLevel="0" collapsed="false">
      <c r="A56" s="17"/>
      <c r="B56" s="14"/>
      <c r="C56" s="14"/>
      <c r="D56" s="13"/>
      <c r="E56" s="14"/>
      <c r="F56" s="14"/>
      <c r="G56" s="14"/>
    </row>
    <row r="57" customFormat="false" ht="15" hidden="false" customHeight="false" outlineLevel="0" collapsed="false">
      <c r="A57" s="17"/>
      <c r="B57" s="14"/>
      <c r="C57" s="14"/>
      <c r="D57" s="13"/>
      <c r="E57" s="14"/>
      <c r="F57" s="14"/>
      <c r="G57" s="14"/>
    </row>
    <row r="58" customFormat="false" ht="15" hidden="false" customHeight="false" outlineLevel="0" collapsed="false">
      <c r="A58" s="17"/>
      <c r="B58" s="14"/>
      <c r="C58" s="14"/>
      <c r="D58" s="13"/>
      <c r="E58" s="14"/>
      <c r="F58" s="14"/>
      <c r="G58" s="14"/>
    </row>
    <row r="59" customFormat="false" ht="15" hidden="false" customHeight="false" outlineLevel="0" collapsed="false">
      <c r="A59" s="17"/>
      <c r="B59" s="14"/>
      <c r="C59" s="14"/>
      <c r="D59" s="13"/>
      <c r="E59" s="14"/>
      <c r="F59" s="14"/>
      <c r="G59" s="14"/>
    </row>
    <row r="60" customFormat="false" ht="15" hidden="false" customHeight="false" outlineLevel="0" collapsed="false">
      <c r="A60" s="17"/>
      <c r="B60" s="14"/>
      <c r="C60" s="14"/>
      <c r="D60" s="13"/>
      <c r="E60" s="14"/>
      <c r="F60" s="14"/>
      <c r="G60" s="14"/>
    </row>
    <row r="61" customFormat="false" ht="15" hidden="false" customHeight="false" outlineLevel="0" collapsed="false">
      <c r="A61" s="17"/>
      <c r="B61" s="14"/>
      <c r="C61" s="14"/>
      <c r="D61" s="13"/>
      <c r="E61" s="14"/>
      <c r="F61" s="14"/>
      <c r="G61" s="14"/>
    </row>
    <row r="62" customFormat="false" ht="15" hidden="false" customHeight="false" outlineLevel="0" collapsed="false">
      <c r="A62" s="17"/>
      <c r="B62" s="14"/>
      <c r="C62" s="14"/>
      <c r="D62" s="13"/>
      <c r="E62" s="14"/>
      <c r="F62" s="14"/>
      <c r="G62" s="14"/>
    </row>
    <row r="63" customFormat="false" ht="15" hidden="false" customHeight="false" outlineLevel="0" collapsed="false">
      <c r="A63" s="17"/>
      <c r="B63" s="14"/>
      <c r="C63" s="14"/>
      <c r="D63" s="13"/>
      <c r="E63" s="14"/>
      <c r="F63" s="14"/>
      <c r="G63" s="14"/>
    </row>
    <row r="64" customFormat="false" ht="15" hidden="false" customHeight="false" outlineLevel="0" collapsed="false">
      <c r="A64" s="17"/>
      <c r="B64" s="14"/>
      <c r="C64" s="14"/>
      <c r="D64" s="13"/>
      <c r="E64" s="14"/>
      <c r="F64" s="14"/>
      <c r="G64" s="14"/>
    </row>
    <row r="65" customFormat="false" ht="15" hidden="false" customHeight="false" outlineLevel="0" collapsed="false">
      <c r="A65" s="17"/>
      <c r="B65" s="14"/>
      <c r="C65" s="14"/>
      <c r="D65" s="13"/>
      <c r="E65" s="14"/>
      <c r="F65" s="14"/>
      <c r="G65" s="14"/>
    </row>
    <row r="66" customFormat="false" ht="15" hidden="false" customHeight="false" outlineLevel="0" collapsed="false">
      <c r="A66" s="17"/>
      <c r="B66" s="14"/>
      <c r="C66" s="14"/>
      <c r="D66" s="13"/>
      <c r="E66" s="14"/>
      <c r="F66" s="14"/>
      <c r="G66" s="14"/>
    </row>
    <row r="67" customFormat="false" ht="15" hidden="false" customHeight="false" outlineLevel="0" collapsed="false">
      <c r="A67" s="17"/>
      <c r="B67" s="14"/>
      <c r="C67" s="14"/>
      <c r="D67" s="13"/>
      <c r="E67" s="14"/>
      <c r="F67" s="14"/>
      <c r="G67" s="14"/>
    </row>
    <row r="68" customFormat="false" ht="15" hidden="false" customHeight="false" outlineLevel="0" collapsed="false">
      <c r="A68" s="17"/>
      <c r="B68" s="14"/>
      <c r="C68" s="14"/>
      <c r="D68" s="13"/>
      <c r="E68" s="14"/>
      <c r="F68" s="14"/>
      <c r="G68" s="14"/>
    </row>
    <row r="69" customFormat="false" ht="15" hidden="false" customHeight="false" outlineLevel="0" collapsed="false">
      <c r="A69" s="17"/>
      <c r="B69" s="14"/>
      <c r="C69" s="14"/>
      <c r="D69" s="13"/>
      <c r="E69" s="14"/>
      <c r="F69" s="14"/>
      <c r="G69" s="14"/>
    </row>
    <row r="70" customFormat="false" ht="15" hidden="false" customHeight="false" outlineLevel="0" collapsed="false">
      <c r="A70" s="17"/>
      <c r="B70" s="14"/>
      <c r="C70" s="14"/>
      <c r="D70" s="13"/>
      <c r="E70" s="14"/>
      <c r="F70" s="14"/>
      <c r="G70" s="14"/>
    </row>
    <row r="71" customFormat="false" ht="15" hidden="false" customHeight="false" outlineLevel="0" collapsed="false">
      <c r="A71" s="17"/>
      <c r="B71" s="14"/>
      <c r="C71" s="14"/>
      <c r="D71" s="13"/>
      <c r="E71" s="14"/>
      <c r="F71" s="14"/>
      <c r="G71" s="14"/>
    </row>
    <row r="72" customFormat="false" ht="15" hidden="false" customHeight="false" outlineLevel="0" collapsed="false">
      <c r="A72" s="17"/>
      <c r="B72" s="14"/>
      <c r="C72" s="14"/>
      <c r="D72" s="13"/>
      <c r="E72" s="14"/>
      <c r="F72" s="14"/>
      <c r="G72" s="14"/>
    </row>
    <row r="73" customFormat="false" ht="15" hidden="false" customHeight="false" outlineLevel="0" collapsed="false">
      <c r="A73" s="17"/>
      <c r="B73" s="14"/>
      <c r="C73" s="14"/>
      <c r="D73" s="13"/>
      <c r="E73" s="14"/>
      <c r="F73" s="14"/>
      <c r="G73" s="14"/>
    </row>
    <row r="74" customFormat="false" ht="15" hidden="false" customHeight="false" outlineLevel="0" collapsed="false">
      <c r="A74" s="17"/>
      <c r="B74" s="14"/>
      <c r="C74" s="14"/>
      <c r="D74" s="13"/>
      <c r="E74" s="14"/>
      <c r="F74" s="14"/>
      <c r="G74" s="14"/>
    </row>
    <row r="75" customFormat="false" ht="15" hidden="false" customHeight="false" outlineLevel="0" collapsed="false">
      <c r="A75" s="17"/>
      <c r="B75" s="14"/>
      <c r="C75" s="14"/>
      <c r="D75" s="13"/>
      <c r="E75" s="14"/>
      <c r="F75" s="14"/>
      <c r="G75" s="14"/>
    </row>
    <row r="76" customFormat="false" ht="15" hidden="false" customHeight="false" outlineLevel="0" collapsed="false">
      <c r="A76" s="17"/>
      <c r="B76" s="14"/>
      <c r="C76" s="14"/>
      <c r="D76" s="13"/>
      <c r="E76" s="14"/>
      <c r="F76" s="14"/>
      <c r="G76" s="14"/>
    </row>
    <row r="77" customFormat="false" ht="15" hidden="false" customHeight="false" outlineLevel="0" collapsed="false">
      <c r="A77" s="17"/>
      <c r="B77" s="14"/>
      <c r="C77" s="14"/>
      <c r="D77" s="13"/>
      <c r="E77" s="14"/>
      <c r="F77" s="14"/>
      <c r="G77" s="14"/>
    </row>
    <row r="78" customFormat="false" ht="15" hidden="false" customHeight="false" outlineLevel="0" collapsed="false">
      <c r="A78" s="17"/>
      <c r="B78" s="14"/>
      <c r="C78" s="14"/>
      <c r="D78" s="13"/>
      <c r="E78" s="14"/>
      <c r="F78" s="14"/>
      <c r="G78" s="14"/>
    </row>
    <row r="79" customFormat="false" ht="15" hidden="false" customHeight="false" outlineLevel="0" collapsed="false">
      <c r="A79" s="17"/>
      <c r="B79" s="14"/>
      <c r="C79" s="14"/>
      <c r="D79" s="13"/>
      <c r="E79" s="14"/>
      <c r="F79" s="14"/>
      <c r="G79" s="14"/>
    </row>
    <row r="80" customFormat="false" ht="15" hidden="false" customHeight="false" outlineLevel="0" collapsed="false">
      <c r="A80" s="17"/>
      <c r="B80" s="14"/>
      <c r="C80" s="14"/>
      <c r="D80" s="13"/>
      <c r="E80" s="14"/>
      <c r="F80" s="14"/>
      <c r="G80" s="14"/>
    </row>
    <row r="81" customFormat="false" ht="15" hidden="false" customHeight="false" outlineLevel="0" collapsed="false">
      <c r="A81" s="17"/>
      <c r="B81" s="14"/>
      <c r="C81" s="14"/>
      <c r="D81" s="13"/>
      <c r="E81" s="14"/>
      <c r="F81" s="14"/>
      <c r="G81" s="14"/>
    </row>
    <row r="82" customFormat="false" ht="15" hidden="false" customHeight="false" outlineLevel="0" collapsed="false">
      <c r="A82" s="17"/>
      <c r="B82" s="14"/>
      <c r="C82" s="14"/>
      <c r="D82" s="13"/>
      <c r="E82" s="14"/>
      <c r="F82" s="14"/>
      <c r="G82" s="14"/>
    </row>
    <row r="83" customFormat="false" ht="15" hidden="false" customHeight="false" outlineLevel="0" collapsed="false">
      <c r="A83" s="17"/>
      <c r="B83" s="14"/>
      <c r="C83" s="14"/>
      <c r="D83" s="13"/>
      <c r="E83" s="14"/>
      <c r="F83" s="14"/>
      <c r="G83" s="14"/>
    </row>
    <row r="84" customFormat="false" ht="15" hidden="false" customHeight="false" outlineLevel="0" collapsed="false">
      <c r="A84" s="17"/>
      <c r="B84" s="14"/>
      <c r="C84" s="14"/>
      <c r="D84" s="13"/>
      <c r="E84" s="14"/>
      <c r="F84" s="14"/>
      <c r="G84" s="14"/>
    </row>
    <row r="85" customFormat="false" ht="15" hidden="false" customHeight="false" outlineLevel="0" collapsed="false">
      <c r="A85" s="17"/>
      <c r="B85" s="14"/>
      <c r="C85" s="14"/>
      <c r="D85" s="13"/>
      <c r="E85" s="14"/>
      <c r="F85" s="14"/>
      <c r="G85" s="14"/>
    </row>
    <row r="86" customFormat="false" ht="15" hidden="false" customHeight="false" outlineLevel="0" collapsed="false">
      <c r="A86" s="17"/>
      <c r="B86" s="14"/>
      <c r="C86" s="14"/>
      <c r="D86" s="13"/>
      <c r="E86" s="14"/>
      <c r="F86" s="14"/>
      <c r="G86" s="14"/>
    </row>
    <row r="87" customFormat="false" ht="15" hidden="false" customHeight="false" outlineLevel="0" collapsed="false">
      <c r="A87" s="17"/>
      <c r="B87" s="14"/>
      <c r="C87" s="14"/>
      <c r="D87" s="13"/>
      <c r="E87" s="14"/>
      <c r="F87" s="14"/>
      <c r="G87" s="14"/>
    </row>
    <row r="88" customFormat="false" ht="15" hidden="false" customHeight="false" outlineLevel="0" collapsed="false">
      <c r="A88" s="17"/>
      <c r="B88" s="14"/>
      <c r="C88" s="14"/>
      <c r="D88" s="13"/>
      <c r="E88" s="14"/>
      <c r="F88" s="14"/>
      <c r="G88" s="14"/>
    </row>
    <row r="89" customFormat="false" ht="15" hidden="false" customHeight="false" outlineLevel="0" collapsed="false">
      <c r="A89" s="17"/>
      <c r="B89" s="14"/>
      <c r="C89" s="14"/>
      <c r="D89" s="13"/>
      <c r="E89" s="14"/>
      <c r="F89" s="14"/>
      <c r="G89" s="14"/>
    </row>
    <row r="90" customFormat="false" ht="15" hidden="false" customHeight="false" outlineLevel="0" collapsed="false">
      <c r="A90" s="17"/>
      <c r="B90" s="14"/>
      <c r="C90" s="14"/>
      <c r="D90" s="13"/>
      <c r="E90" s="14"/>
      <c r="F90" s="14"/>
      <c r="G90" s="14"/>
    </row>
    <row r="91" customFormat="false" ht="15" hidden="false" customHeight="false" outlineLevel="0" collapsed="false">
      <c r="A91" s="17"/>
      <c r="B91" s="14"/>
      <c r="C91" s="14"/>
      <c r="D91" s="13"/>
      <c r="E91" s="14"/>
      <c r="F91" s="14"/>
      <c r="G91" s="14"/>
    </row>
    <row r="92" customFormat="false" ht="15" hidden="false" customHeight="false" outlineLevel="0" collapsed="false">
      <c r="A92" s="17"/>
      <c r="B92" s="14"/>
      <c r="C92" s="14"/>
      <c r="D92" s="13"/>
      <c r="E92" s="14"/>
      <c r="F92" s="14"/>
      <c r="G92" s="14"/>
    </row>
    <row r="93" customFormat="false" ht="15" hidden="false" customHeight="false" outlineLevel="0" collapsed="false">
      <c r="A93" s="17"/>
      <c r="B93" s="14"/>
      <c r="C93" s="14"/>
      <c r="D93" s="13"/>
      <c r="E93" s="14"/>
      <c r="F93" s="14"/>
      <c r="G93" s="14"/>
    </row>
    <row r="94" customFormat="false" ht="15" hidden="false" customHeight="false" outlineLevel="0" collapsed="false">
      <c r="A94" s="17"/>
      <c r="B94" s="14"/>
      <c r="C94" s="14"/>
      <c r="D94" s="13"/>
      <c r="E94" s="14"/>
      <c r="F94" s="14"/>
      <c r="G94" s="14"/>
    </row>
    <row r="95" customFormat="false" ht="15" hidden="false" customHeight="false" outlineLevel="0" collapsed="false">
      <c r="A95" s="17"/>
      <c r="B95" s="14"/>
      <c r="C95" s="14"/>
      <c r="D95" s="13"/>
      <c r="E95" s="14"/>
      <c r="F95" s="14"/>
      <c r="G95" s="14"/>
    </row>
    <row r="96" customFormat="false" ht="15" hidden="false" customHeight="false" outlineLevel="0" collapsed="false">
      <c r="A96" s="17"/>
      <c r="B96" s="14"/>
      <c r="C96" s="14"/>
      <c r="D96" s="13"/>
      <c r="E96" s="14"/>
      <c r="F96" s="14"/>
      <c r="G96" s="14"/>
    </row>
    <row r="97" customFormat="false" ht="15" hidden="false" customHeight="false" outlineLevel="0" collapsed="false">
      <c r="A97" s="17"/>
      <c r="B97" s="14"/>
      <c r="C97" s="14"/>
      <c r="D97" s="13"/>
      <c r="E97" s="14"/>
      <c r="F97" s="14"/>
      <c r="G97" s="14"/>
    </row>
    <row r="98" customFormat="false" ht="15" hidden="false" customHeight="false" outlineLevel="0" collapsed="false">
      <c r="A98" s="17"/>
      <c r="B98" s="14"/>
      <c r="C98" s="14"/>
      <c r="D98" s="13"/>
      <c r="E98" s="14"/>
      <c r="F98" s="14"/>
      <c r="G98" s="14"/>
    </row>
    <row r="99" customFormat="false" ht="15" hidden="false" customHeight="false" outlineLevel="0" collapsed="false">
      <c r="A99" s="17"/>
      <c r="B99" s="14"/>
      <c r="C99" s="14"/>
      <c r="D99" s="13"/>
      <c r="E99" s="14"/>
      <c r="F99" s="14"/>
      <c r="G99" s="14"/>
    </row>
    <row r="100" customFormat="false" ht="15" hidden="false" customHeight="false" outlineLevel="0" collapsed="false">
      <c r="A100" s="17"/>
      <c r="B100" s="14"/>
      <c r="C100" s="14"/>
      <c r="D100" s="13"/>
      <c r="E100" s="14"/>
      <c r="F100" s="14"/>
      <c r="G100" s="14"/>
    </row>
    <row r="101" customFormat="false" ht="15" hidden="false" customHeight="false" outlineLevel="0" collapsed="false">
      <c r="A101" s="17"/>
      <c r="B101" s="14"/>
      <c r="C101" s="14"/>
      <c r="D101" s="13"/>
      <c r="E101" s="14"/>
      <c r="F101" s="14"/>
      <c r="G101" s="14"/>
    </row>
    <row r="102" customFormat="false" ht="15" hidden="false" customHeight="false" outlineLevel="0" collapsed="false">
      <c r="A102" s="17"/>
      <c r="B102" s="14"/>
      <c r="C102" s="14"/>
      <c r="D102" s="13"/>
      <c r="E102" s="14"/>
      <c r="F102" s="14"/>
      <c r="G102" s="14"/>
    </row>
    <row r="103" customFormat="false" ht="15" hidden="false" customHeight="false" outlineLevel="0" collapsed="false">
      <c r="A103" s="17"/>
      <c r="B103" s="14"/>
      <c r="C103" s="14"/>
      <c r="D103" s="13"/>
      <c r="E103" s="14"/>
      <c r="F103" s="14"/>
      <c r="G103" s="14"/>
    </row>
    <row r="104" customFormat="false" ht="15" hidden="false" customHeight="false" outlineLevel="0" collapsed="false">
      <c r="A104" s="17"/>
      <c r="B104" s="14"/>
      <c r="C104" s="14"/>
      <c r="D104" s="13"/>
      <c r="E104" s="14"/>
      <c r="F104" s="14"/>
      <c r="G104" s="14"/>
    </row>
    <row r="105" customFormat="false" ht="15" hidden="false" customHeight="false" outlineLevel="0" collapsed="false">
      <c r="A105" s="17"/>
      <c r="B105" s="14"/>
      <c r="C105" s="14"/>
      <c r="D105" s="13"/>
      <c r="E105" s="14"/>
      <c r="F105" s="14"/>
      <c r="G105" s="14"/>
    </row>
    <row r="106" customFormat="false" ht="15" hidden="false" customHeight="false" outlineLevel="0" collapsed="false">
      <c r="A106" s="17"/>
      <c r="B106" s="14"/>
      <c r="C106" s="14"/>
      <c r="D106" s="13"/>
      <c r="E106" s="14"/>
      <c r="F106" s="14"/>
      <c r="G106" s="14"/>
    </row>
    <row r="107" customFormat="false" ht="15" hidden="false" customHeight="false" outlineLevel="0" collapsed="false">
      <c r="A107" s="17"/>
      <c r="B107" s="14"/>
      <c r="C107" s="14"/>
      <c r="D107" s="13"/>
      <c r="E107" s="14"/>
      <c r="F107" s="14"/>
      <c r="G107" s="14"/>
    </row>
    <row r="108" customFormat="false" ht="15" hidden="false" customHeight="false" outlineLevel="0" collapsed="false">
      <c r="A108" s="17"/>
      <c r="B108" s="14"/>
      <c r="C108" s="14"/>
      <c r="D108" s="13"/>
      <c r="E108" s="14"/>
      <c r="F108" s="14"/>
      <c r="G108" s="14"/>
    </row>
    <row r="109" customFormat="false" ht="15" hidden="false" customHeight="false" outlineLevel="0" collapsed="false">
      <c r="A109" s="17"/>
      <c r="B109" s="14"/>
      <c r="C109" s="14"/>
      <c r="D109" s="13"/>
      <c r="E109" s="14"/>
      <c r="F109" s="14"/>
      <c r="G109" s="14"/>
    </row>
    <row r="110" customFormat="false" ht="15" hidden="false" customHeight="false" outlineLevel="0" collapsed="false">
      <c r="A110" s="17"/>
      <c r="B110" s="14"/>
      <c r="C110" s="14"/>
      <c r="D110" s="13"/>
      <c r="E110" s="14"/>
      <c r="F110" s="14"/>
      <c r="G110" s="14"/>
    </row>
    <row r="111" customFormat="false" ht="15" hidden="false" customHeight="false" outlineLevel="0" collapsed="false">
      <c r="A111" s="17"/>
      <c r="B111" s="14"/>
      <c r="C111" s="14"/>
      <c r="D111" s="13"/>
      <c r="E111" s="14"/>
      <c r="F111" s="14"/>
      <c r="G111" s="14"/>
    </row>
    <row r="112" customFormat="false" ht="15" hidden="false" customHeight="false" outlineLevel="0" collapsed="false">
      <c r="A112" s="17"/>
      <c r="B112" s="14"/>
      <c r="C112" s="14"/>
      <c r="D112" s="13"/>
      <c r="E112" s="14"/>
      <c r="F112" s="14"/>
      <c r="G112" s="14"/>
    </row>
    <row r="113" customFormat="false" ht="15" hidden="false" customHeight="false" outlineLevel="0" collapsed="false">
      <c r="A113" s="17"/>
      <c r="B113" s="14"/>
      <c r="C113" s="14"/>
      <c r="D113" s="13"/>
      <c r="E113" s="14"/>
      <c r="F113" s="14"/>
      <c r="G113" s="14"/>
    </row>
    <row r="114" customFormat="false" ht="15" hidden="false" customHeight="false" outlineLevel="0" collapsed="false">
      <c r="A114" s="17"/>
      <c r="B114" s="14"/>
      <c r="C114" s="14"/>
      <c r="D114" s="13"/>
      <c r="E114" s="14"/>
      <c r="F114" s="14"/>
      <c r="G114" s="14"/>
    </row>
    <row r="115" customFormat="false" ht="15" hidden="false" customHeight="false" outlineLevel="0" collapsed="false">
      <c r="A115" s="17"/>
      <c r="B115" s="14"/>
      <c r="C115" s="14"/>
      <c r="D115" s="13"/>
      <c r="E115" s="14"/>
      <c r="F115" s="14"/>
      <c r="G115" s="14"/>
    </row>
    <row r="116" customFormat="false" ht="15" hidden="false" customHeight="false" outlineLevel="0" collapsed="false">
      <c r="A116" s="17"/>
      <c r="B116" s="14"/>
      <c r="C116" s="14"/>
      <c r="D116" s="13"/>
      <c r="E116" s="14"/>
      <c r="F116" s="14"/>
      <c r="G116" s="14"/>
    </row>
    <row r="117" customFormat="false" ht="15" hidden="false" customHeight="false" outlineLevel="0" collapsed="false">
      <c r="A117" s="17"/>
      <c r="B117" s="14"/>
      <c r="C117" s="14"/>
      <c r="D117" s="13"/>
      <c r="E117" s="14"/>
      <c r="F117" s="14"/>
      <c r="G117" s="14"/>
    </row>
    <row r="118" customFormat="false" ht="15" hidden="false" customHeight="false" outlineLevel="0" collapsed="false">
      <c r="A118" s="17"/>
      <c r="B118" s="14"/>
      <c r="C118" s="14"/>
      <c r="D118" s="13"/>
      <c r="E118" s="14"/>
      <c r="F118" s="14"/>
      <c r="G118" s="14"/>
    </row>
    <row r="119" customFormat="false" ht="15" hidden="false" customHeight="false" outlineLevel="0" collapsed="false">
      <c r="A119" s="17"/>
      <c r="B119" s="14"/>
      <c r="C119" s="14"/>
      <c r="D119" s="13"/>
      <c r="E119" s="14"/>
      <c r="F119" s="14"/>
      <c r="G119" s="14"/>
    </row>
    <row r="120" customFormat="false" ht="15" hidden="false" customHeight="false" outlineLevel="0" collapsed="false">
      <c r="A120" s="17"/>
      <c r="B120" s="14"/>
      <c r="C120" s="14"/>
      <c r="D120" s="13"/>
      <c r="E120" s="14"/>
      <c r="F120" s="14"/>
      <c r="G120" s="14"/>
    </row>
    <row r="121" customFormat="false" ht="15" hidden="false" customHeight="false" outlineLevel="0" collapsed="false">
      <c r="A121" s="17"/>
      <c r="B121" s="14"/>
      <c r="C121" s="14"/>
      <c r="D121" s="13"/>
      <c r="E121" s="14"/>
      <c r="F121" s="14"/>
      <c r="G121" s="14"/>
    </row>
    <row r="122" customFormat="false" ht="15" hidden="false" customHeight="false" outlineLevel="0" collapsed="false">
      <c r="A122" s="17"/>
      <c r="B122" s="14"/>
      <c r="C122" s="14"/>
      <c r="D122" s="13"/>
      <c r="E122" s="14"/>
      <c r="F122" s="14"/>
      <c r="G122" s="14"/>
    </row>
    <row r="123" customFormat="false" ht="15" hidden="false" customHeight="false" outlineLevel="0" collapsed="false">
      <c r="A123" s="17"/>
      <c r="B123" s="14"/>
      <c r="C123" s="14"/>
      <c r="D123" s="13"/>
      <c r="E123" s="14"/>
      <c r="F123" s="14"/>
      <c r="G123" s="14"/>
    </row>
    <row r="124" customFormat="false" ht="15" hidden="false" customHeight="false" outlineLevel="0" collapsed="false">
      <c r="A124" s="17"/>
      <c r="B124" s="14"/>
      <c r="C124" s="14"/>
      <c r="D124" s="13"/>
      <c r="E124" s="14"/>
      <c r="F124" s="14"/>
      <c r="G124" s="14"/>
    </row>
    <row r="125" customFormat="false" ht="15" hidden="false" customHeight="false" outlineLevel="0" collapsed="false">
      <c r="A125" s="17"/>
      <c r="B125" s="14"/>
      <c r="C125" s="14"/>
      <c r="D125" s="13"/>
      <c r="E125" s="14"/>
      <c r="F125" s="14"/>
      <c r="G125" s="14"/>
    </row>
    <row r="126" customFormat="false" ht="15" hidden="false" customHeight="false" outlineLevel="0" collapsed="false">
      <c r="A126" s="17"/>
      <c r="B126" s="14"/>
      <c r="C126" s="14"/>
      <c r="D126" s="13"/>
      <c r="E126" s="14"/>
      <c r="F126" s="14"/>
      <c r="G126" s="14"/>
    </row>
    <row r="127" customFormat="false" ht="15" hidden="false" customHeight="false" outlineLevel="0" collapsed="false">
      <c r="A127" s="17"/>
      <c r="B127" s="14"/>
      <c r="C127" s="14"/>
      <c r="D127" s="13"/>
      <c r="E127" s="14"/>
      <c r="F127" s="14"/>
      <c r="G127" s="14"/>
    </row>
    <row r="128" customFormat="false" ht="15" hidden="false" customHeight="false" outlineLevel="0" collapsed="false">
      <c r="A128" s="17"/>
      <c r="B128" s="14"/>
      <c r="C128" s="14"/>
      <c r="D128" s="13"/>
      <c r="E128" s="14"/>
      <c r="F128" s="14"/>
      <c r="G128" s="14"/>
    </row>
    <row r="129" customFormat="false" ht="15" hidden="false" customHeight="false" outlineLevel="0" collapsed="false">
      <c r="A129" s="17"/>
      <c r="B129" s="14"/>
      <c r="C129" s="14"/>
      <c r="D129" s="13"/>
      <c r="E129" s="14"/>
      <c r="F129" s="14"/>
      <c r="G129" s="14"/>
    </row>
    <row r="130" customFormat="false" ht="15" hidden="false" customHeight="false" outlineLevel="0" collapsed="false">
      <c r="A130" s="17"/>
      <c r="B130" s="14"/>
      <c r="C130" s="14"/>
      <c r="D130" s="13"/>
      <c r="E130" s="14"/>
      <c r="F130" s="14"/>
      <c r="G130" s="14"/>
    </row>
    <row r="131" customFormat="false" ht="15" hidden="false" customHeight="false" outlineLevel="0" collapsed="false">
      <c r="A131" s="17"/>
      <c r="B131" s="14"/>
      <c r="C131" s="14"/>
      <c r="D131" s="13"/>
      <c r="E131" s="14"/>
      <c r="F131" s="14"/>
      <c r="G131" s="14"/>
    </row>
    <row r="132" customFormat="false" ht="15" hidden="false" customHeight="false" outlineLevel="0" collapsed="false">
      <c r="A132" s="17"/>
      <c r="B132" s="14"/>
      <c r="C132" s="14"/>
      <c r="D132" s="13"/>
      <c r="E132" s="14"/>
      <c r="F132" s="14"/>
      <c r="G132" s="14"/>
    </row>
    <row r="133" customFormat="false" ht="15" hidden="false" customHeight="false" outlineLevel="0" collapsed="false">
      <c r="A133" s="17"/>
      <c r="B133" s="14"/>
      <c r="C133" s="14"/>
      <c r="D133" s="13"/>
      <c r="E133" s="14"/>
      <c r="F133" s="14"/>
      <c r="G133" s="14"/>
    </row>
    <row r="134" customFormat="false" ht="15" hidden="false" customHeight="false" outlineLevel="0" collapsed="false">
      <c r="A134" s="17"/>
      <c r="B134" s="14"/>
      <c r="C134" s="14"/>
      <c r="D134" s="13"/>
      <c r="E134" s="14"/>
      <c r="F134" s="14"/>
      <c r="G134" s="14"/>
    </row>
    <row r="135" customFormat="false" ht="15" hidden="false" customHeight="false" outlineLevel="0" collapsed="false">
      <c r="A135" s="17"/>
      <c r="B135" s="14"/>
      <c r="C135" s="14"/>
      <c r="D135" s="13"/>
      <c r="E135" s="14"/>
      <c r="F135" s="14"/>
      <c r="G135" s="14"/>
    </row>
    <row r="136" customFormat="false" ht="15" hidden="false" customHeight="false" outlineLevel="0" collapsed="false">
      <c r="A136" s="17"/>
      <c r="B136" s="14"/>
      <c r="C136" s="14"/>
      <c r="D136" s="13"/>
      <c r="E136" s="14"/>
      <c r="F136" s="14"/>
      <c r="G136" s="14"/>
    </row>
    <row r="137" customFormat="false" ht="15" hidden="false" customHeight="false" outlineLevel="0" collapsed="false">
      <c r="A137" s="17"/>
      <c r="B137" s="14"/>
      <c r="C137" s="14"/>
      <c r="D137" s="13"/>
      <c r="E137" s="14"/>
      <c r="F137" s="14"/>
      <c r="G137" s="14"/>
    </row>
    <row r="138" customFormat="false" ht="15" hidden="false" customHeight="false" outlineLevel="0" collapsed="false">
      <c r="A138" s="17"/>
      <c r="B138" s="14"/>
      <c r="C138" s="14"/>
      <c r="D138" s="13"/>
      <c r="E138" s="14"/>
      <c r="F138" s="14"/>
      <c r="G138" s="14"/>
    </row>
    <row r="139" customFormat="false" ht="15" hidden="false" customHeight="false" outlineLevel="0" collapsed="false">
      <c r="A139" s="17"/>
      <c r="B139" s="14"/>
      <c r="C139" s="14"/>
      <c r="D139" s="13"/>
      <c r="E139" s="14"/>
      <c r="F139" s="14"/>
      <c r="G139" s="14"/>
    </row>
    <row r="140" customFormat="false" ht="15" hidden="false" customHeight="false" outlineLevel="0" collapsed="false">
      <c r="A140" s="17"/>
      <c r="B140" s="14"/>
      <c r="C140" s="14"/>
      <c r="D140" s="13"/>
      <c r="E140" s="14"/>
      <c r="F140" s="14"/>
      <c r="G140" s="14"/>
    </row>
    <row r="141" customFormat="false" ht="15" hidden="false" customHeight="false" outlineLevel="0" collapsed="false">
      <c r="A141" s="17"/>
      <c r="B141" s="14"/>
      <c r="C141" s="14"/>
      <c r="D141" s="13"/>
      <c r="E141" s="14"/>
      <c r="F141" s="14"/>
      <c r="G141" s="14"/>
    </row>
    <row r="142" customFormat="false" ht="15" hidden="false" customHeight="false" outlineLevel="0" collapsed="false">
      <c r="A142" s="17"/>
      <c r="B142" s="14"/>
      <c r="C142" s="14"/>
      <c r="D142" s="13"/>
      <c r="E142" s="14"/>
      <c r="F142" s="14"/>
      <c r="G142" s="14"/>
    </row>
    <row r="143" customFormat="false" ht="15" hidden="false" customHeight="false" outlineLevel="0" collapsed="false">
      <c r="A143" s="17"/>
      <c r="B143" s="14"/>
      <c r="C143" s="14"/>
      <c r="D143" s="13"/>
      <c r="E143" s="14"/>
      <c r="F143" s="14"/>
      <c r="G143" s="14"/>
    </row>
    <row r="144" customFormat="false" ht="15" hidden="false" customHeight="false" outlineLevel="0" collapsed="false">
      <c r="A144" s="17"/>
      <c r="B144" s="14"/>
      <c r="C144" s="14"/>
      <c r="D144" s="13"/>
      <c r="E144" s="14"/>
      <c r="F144" s="14"/>
      <c r="G144" s="14"/>
    </row>
    <row r="145" customFormat="false" ht="15" hidden="false" customHeight="false" outlineLevel="0" collapsed="false">
      <c r="A145" s="17"/>
      <c r="B145" s="14"/>
      <c r="C145" s="14"/>
      <c r="D145" s="13"/>
      <c r="E145" s="14"/>
      <c r="F145" s="14"/>
      <c r="G145" s="14"/>
    </row>
    <row r="146" customFormat="false" ht="15" hidden="false" customHeight="false" outlineLevel="0" collapsed="false">
      <c r="A146" s="17"/>
      <c r="B146" s="14"/>
      <c r="C146" s="14"/>
      <c r="D146" s="13"/>
      <c r="E146" s="14"/>
      <c r="F146" s="14"/>
      <c r="G146" s="14"/>
    </row>
    <row r="147" customFormat="false" ht="15" hidden="false" customHeight="false" outlineLevel="0" collapsed="false">
      <c r="A147" s="17"/>
      <c r="B147" s="14"/>
      <c r="C147" s="14"/>
      <c r="D147" s="13"/>
      <c r="E147" s="14"/>
      <c r="F147" s="14"/>
      <c r="G147" s="14"/>
    </row>
    <row r="148" customFormat="false" ht="15" hidden="false" customHeight="false" outlineLevel="0" collapsed="false">
      <c r="A148" s="17"/>
      <c r="B148" s="14"/>
      <c r="C148" s="14"/>
      <c r="D148" s="13"/>
      <c r="E148" s="14"/>
      <c r="F148" s="14"/>
      <c r="G148" s="14"/>
    </row>
    <row r="149" customFormat="false" ht="15" hidden="false" customHeight="false" outlineLevel="0" collapsed="false">
      <c r="A149" s="17"/>
      <c r="B149" s="14"/>
      <c r="C149" s="14"/>
      <c r="D149" s="13"/>
      <c r="E149" s="14"/>
      <c r="F149" s="14"/>
      <c r="G149" s="14"/>
    </row>
    <row r="150" customFormat="false" ht="15" hidden="false" customHeight="false" outlineLevel="0" collapsed="false">
      <c r="A150" s="17"/>
      <c r="B150" s="14"/>
      <c r="C150" s="14"/>
      <c r="D150" s="13"/>
      <c r="E150" s="14"/>
      <c r="F150" s="14"/>
      <c r="G150" s="14"/>
    </row>
    <row r="151" customFormat="false" ht="15" hidden="false" customHeight="false" outlineLevel="0" collapsed="false">
      <c r="A151" s="17"/>
      <c r="B151" s="14"/>
      <c r="C151" s="14"/>
      <c r="D151" s="13"/>
      <c r="E151" s="14"/>
      <c r="F151" s="14"/>
      <c r="G151" s="14"/>
    </row>
    <row r="152" customFormat="false" ht="15" hidden="false" customHeight="false" outlineLevel="0" collapsed="false">
      <c r="A152" s="17"/>
      <c r="B152" s="14"/>
      <c r="C152" s="14"/>
      <c r="D152" s="13"/>
      <c r="E152" s="14"/>
      <c r="F152" s="14"/>
      <c r="G152" s="14"/>
    </row>
    <row r="153" customFormat="false" ht="15" hidden="false" customHeight="false" outlineLevel="0" collapsed="false">
      <c r="A153" s="17"/>
      <c r="B153" s="14"/>
      <c r="C153" s="14"/>
      <c r="D153" s="13"/>
      <c r="E153" s="14"/>
      <c r="F153" s="14"/>
      <c r="G153" s="14"/>
    </row>
    <row r="154" customFormat="false" ht="15" hidden="false" customHeight="false" outlineLevel="0" collapsed="false">
      <c r="A154" s="17"/>
      <c r="B154" s="14"/>
      <c r="C154" s="14"/>
      <c r="D154" s="13"/>
      <c r="E154" s="14"/>
      <c r="F154" s="14"/>
      <c r="G154" s="14"/>
    </row>
    <row r="155" customFormat="false" ht="15" hidden="false" customHeight="false" outlineLevel="0" collapsed="false">
      <c r="A155" s="17"/>
      <c r="B155" s="14"/>
      <c r="C155" s="14"/>
      <c r="D155" s="13"/>
      <c r="E155" s="14"/>
      <c r="F155" s="14"/>
      <c r="G155" s="14"/>
    </row>
    <row r="156" customFormat="false" ht="15" hidden="false" customHeight="false" outlineLevel="0" collapsed="false">
      <c r="A156" s="17"/>
      <c r="B156" s="14"/>
      <c r="C156" s="14"/>
      <c r="D156" s="13"/>
      <c r="E156" s="14"/>
      <c r="F156" s="14"/>
      <c r="G156" s="14"/>
    </row>
    <row r="157" customFormat="false" ht="15" hidden="false" customHeight="false" outlineLevel="0" collapsed="false">
      <c r="A157" s="17"/>
      <c r="B157" s="14"/>
      <c r="C157" s="14"/>
      <c r="D157" s="13"/>
      <c r="E157" s="14"/>
      <c r="F157" s="14"/>
      <c r="G157" s="14"/>
    </row>
    <row r="158" customFormat="false" ht="15" hidden="false" customHeight="false" outlineLevel="0" collapsed="false">
      <c r="A158" s="17"/>
      <c r="B158" s="14"/>
      <c r="C158" s="14"/>
      <c r="D158" s="13"/>
      <c r="E158" s="14"/>
      <c r="F158" s="14"/>
      <c r="G158" s="14"/>
    </row>
    <row r="159" customFormat="false" ht="15" hidden="false" customHeight="false" outlineLevel="0" collapsed="false">
      <c r="A159" s="17"/>
      <c r="B159" s="14"/>
      <c r="C159" s="14"/>
      <c r="D159" s="13"/>
      <c r="E159" s="14"/>
      <c r="F159" s="14"/>
      <c r="G159" s="14"/>
    </row>
    <row r="160" customFormat="false" ht="15" hidden="false" customHeight="false" outlineLevel="0" collapsed="false">
      <c r="A160" s="17"/>
      <c r="B160" s="14"/>
      <c r="C160" s="14"/>
      <c r="D160" s="13"/>
      <c r="E160" s="14"/>
      <c r="F160" s="14"/>
      <c r="G160" s="14"/>
    </row>
    <row r="161" customFormat="false" ht="15" hidden="false" customHeight="false" outlineLevel="0" collapsed="false">
      <c r="A161" s="17"/>
      <c r="B161" s="14"/>
      <c r="C161" s="14"/>
      <c r="D161" s="13"/>
      <c r="E161" s="14"/>
      <c r="F161" s="14"/>
      <c r="G161" s="14"/>
    </row>
    <row r="162" customFormat="false" ht="15" hidden="false" customHeight="false" outlineLevel="0" collapsed="false">
      <c r="A162" s="17"/>
      <c r="B162" s="14"/>
      <c r="C162" s="14"/>
      <c r="D162" s="13"/>
      <c r="E162" s="14"/>
      <c r="F162" s="14"/>
      <c r="G162" s="14"/>
    </row>
    <row r="163" customFormat="false" ht="15" hidden="false" customHeight="false" outlineLevel="0" collapsed="false">
      <c r="A163" s="17"/>
      <c r="B163" s="14"/>
      <c r="C163" s="14"/>
      <c r="D163" s="13"/>
      <c r="E163" s="14"/>
      <c r="F163" s="14"/>
      <c r="G163" s="14"/>
    </row>
    <row r="164" customFormat="false" ht="15" hidden="false" customHeight="false" outlineLevel="0" collapsed="false">
      <c r="A164" s="17"/>
      <c r="B164" s="14"/>
      <c r="C164" s="14"/>
      <c r="D164" s="13"/>
      <c r="E164" s="14"/>
      <c r="F164" s="14"/>
      <c r="G164" s="14"/>
    </row>
    <row r="165" customFormat="false" ht="15" hidden="false" customHeight="false" outlineLevel="0" collapsed="false">
      <c r="A165" s="17"/>
      <c r="B165" s="14"/>
      <c r="C165" s="14"/>
      <c r="D165" s="13"/>
      <c r="E165" s="14"/>
      <c r="F165" s="14"/>
      <c r="G165" s="14"/>
    </row>
    <row r="166" customFormat="false" ht="15" hidden="false" customHeight="false" outlineLevel="0" collapsed="false">
      <c r="A166" s="17"/>
      <c r="B166" s="14"/>
      <c r="C166" s="14"/>
      <c r="D166" s="13"/>
      <c r="E166" s="14"/>
      <c r="F166" s="14"/>
      <c r="G166" s="14"/>
    </row>
    <row r="167" customFormat="false" ht="15" hidden="false" customHeight="false" outlineLevel="0" collapsed="false">
      <c r="A167" s="17"/>
      <c r="B167" s="14"/>
      <c r="C167" s="14"/>
      <c r="D167" s="13"/>
      <c r="E167" s="14"/>
      <c r="F167" s="14"/>
      <c r="G167" s="14"/>
    </row>
    <row r="168" customFormat="false" ht="15" hidden="false" customHeight="false" outlineLevel="0" collapsed="false">
      <c r="A168" s="17"/>
      <c r="B168" s="14"/>
      <c r="C168" s="14"/>
      <c r="D168" s="13"/>
      <c r="E168" s="14"/>
      <c r="F168" s="14"/>
      <c r="G168" s="14"/>
    </row>
    <row r="169" customFormat="false" ht="15" hidden="false" customHeight="false" outlineLevel="0" collapsed="false">
      <c r="A169" s="17"/>
      <c r="B169" s="14"/>
      <c r="C169" s="14"/>
      <c r="D169" s="13"/>
      <c r="E169" s="14"/>
      <c r="F169" s="14"/>
      <c r="G169" s="14"/>
    </row>
    <row r="170" customFormat="false" ht="15" hidden="false" customHeight="false" outlineLevel="0" collapsed="false">
      <c r="A170" s="17"/>
      <c r="B170" s="14"/>
      <c r="C170" s="14"/>
      <c r="D170" s="13"/>
      <c r="E170" s="14"/>
      <c r="F170" s="14"/>
      <c r="G170" s="14"/>
    </row>
    <row r="171" customFormat="false" ht="15" hidden="false" customHeight="false" outlineLevel="0" collapsed="false">
      <c r="A171" s="17"/>
      <c r="B171" s="14"/>
      <c r="C171" s="14"/>
      <c r="D171" s="13"/>
      <c r="E171" s="14"/>
      <c r="F171" s="14"/>
      <c r="G171" s="14"/>
    </row>
    <row r="172" customFormat="false" ht="15" hidden="false" customHeight="false" outlineLevel="0" collapsed="false">
      <c r="A172" s="17"/>
      <c r="B172" s="14"/>
      <c r="C172" s="14"/>
      <c r="D172" s="13"/>
      <c r="E172" s="14"/>
      <c r="F172" s="14"/>
      <c r="G172" s="14"/>
    </row>
    <row r="173" customFormat="false" ht="15" hidden="false" customHeight="false" outlineLevel="0" collapsed="false">
      <c r="A173" s="17"/>
      <c r="B173" s="14"/>
      <c r="C173" s="14"/>
      <c r="D173" s="13"/>
      <c r="E173" s="14"/>
      <c r="F173" s="14"/>
      <c r="G173" s="14"/>
    </row>
    <row r="174" customFormat="false" ht="15" hidden="false" customHeight="false" outlineLevel="0" collapsed="false">
      <c r="A174" s="17"/>
      <c r="B174" s="14"/>
      <c r="C174" s="14"/>
      <c r="D174" s="13"/>
      <c r="E174" s="14"/>
      <c r="F174" s="14"/>
      <c r="G174" s="14"/>
    </row>
    <row r="175" customFormat="false" ht="15" hidden="false" customHeight="false" outlineLevel="0" collapsed="false">
      <c r="A175" s="17"/>
      <c r="B175" s="14"/>
      <c r="C175" s="14"/>
      <c r="D175" s="13"/>
      <c r="E175" s="14"/>
      <c r="F175" s="14"/>
      <c r="G175" s="14"/>
    </row>
    <row r="176" customFormat="false" ht="15" hidden="false" customHeight="false" outlineLevel="0" collapsed="false">
      <c r="A176" s="17"/>
      <c r="B176" s="14"/>
      <c r="C176" s="14"/>
      <c r="D176" s="13"/>
      <c r="E176" s="14"/>
      <c r="F176" s="14"/>
      <c r="G176" s="14"/>
    </row>
    <row r="177" customFormat="false" ht="15" hidden="false" customHeight="false" outlineLevel="0" collapsed="false">
      <c r="A177" s="17"/>
      <c r="B177" s="14"/>
      <c r="C177" s="14"/>
      <c r="D177" s="13"/>
      <c r="E177" s="14"/>
      <c r="F177" s="14"/>
      <c r="G177" s="14"/>
    </row>
    <row r="178" customFormat="false" ht="15" hidden="false" customHeight="false" outlineLevel="0" collapsed="false">
      <c r="A178" s="17"/>
      <c r="B178" s="14"/>
      <c r="C178" s="14"/>
      <c r="D178" s="13"/>
      <c r="E178" s="14"/>
      <c r="F178" s="14"/>
      <c r="G178" s="14"/>
    </row>
    <row r="179" customFormat="false" ht="15" hidden="false" customHeight="false" outlineLevel="0" collapsed="false">
      <c r="A179" s="17"/>
      <c r="B179" s="14"/>
      <c r="C179" s="14"/>
      <c r="D179" s="13"/>
      <c r="E179" s="14"/>
      <c r="F179" s="14"/>
      <c r="G179" s="14"/>
    </row>
    <row r="180" customFormat="false" ht="15" hidden="false" customHeight="false" outlineLevel="0" collapsed="false">
      <c r="A180" s="17"/>
      <c r="B180" s="14"/>
      <c r="C180" s="14"/>
      <c r="D180" s="13"/>
      <c r="E180" s="14"/>
      <c r="F180" s="14"/>
      <c r="G180" s="14"/>
    </row>
    <row r="181" customFormat="false" ht="15" hidden="false" customHeight="false" outlineLevel="0" collapsed="false">
      <c r="A181" s="17"/>
      <c r="B181" s="14"/>
      <c r="C181" s="14"/>
      <c r="D181" s="13"/>
      <c r="E181" s="14"/>
      <c r="F181" s="14"/>
      <c r="G181" s="14"/>
    </row>
    <row r="182" customFormat="false" ht="15" hidden="false" customHeight="false" outlineLevel="0" collapsed="false">
      <c r="A182" s="17"/>
      <c r="B182" s="14"/>
      <c r="C182" s="14"/>
      <c r="D182" s="13"/>
      <c r="E182" s="14"/>
      <c r="F182" s="14"/>
      <c r="G182" s="14"/>
    </row>
    <row r="183" customFormat="false" ht="15" hidden="false" customHeight="false" outlineLevel="0" collapsed="false">
      <c r="A183" s="17"/>
      <c r="B183" s="14"/>
      <c r="C183" s="14"/>
      <c r="D183" s="13"/>
      <c r="E183" s="14"/>
      <c r="F183" s="14"/>
      <c r="G183" s="14"/>
    </row>
    <row r="184" customFormat="false" ht="15" hidden="false" customHeight="false" outlineLevel="0" collapsed="false">
      <c r="A184" s="17"/>
      <c r="B184" s="14"/>
      <c r="C184" s="14"/>
      <c r="D184" s="13"/>
      <c r="E184" s="14"/>
      <c r="F184" s="14"/>
      <c r="G184" s="14"/>
    </row>
    <row r="185" customFormat="false" ht="15" hidden="false" customHeight="false" outlineLevel="0" collapsed="false">
      <c r="A185" s="17"/>
      <c r="B185" s="14"/>
      <c r="C185" s="14"/>
      <c r="D185" s="13"/>
      <c r="E185" s="14"/>
      <c r="F185" s="14"/>
      <c r="G185" s="14"/>
    </row>
    <row r="186" customFormat="false" ht="15" hidden="false" customHeight="false" outlineLevel="0" collapsed="false">
      <c r="A186" s="17"/>
      <c r="B186" s="14"/>
      <c r="C186" s="14"/>
      <c r="D186" s="13"/>
      <c r="E186" s="14"/>
      <c r="F186" s="14"/>
      <c r="G186" s="14"/>
    </row>
    <row r="187" customFormat="false" ht="15" hidden="false" customHeight="false" outlineLevel="0" collapsed="false">
      <c r="A187" s="17"/>
      <c r="B187" s="14"/>
      <c r="C187" s="14"/>
      <c r="D187" s="13"/>
      <c r="E187" s="14"/>
      <c r="F187" s="14"/>
      <c r="G187" s="14"/>
    </row>
    <row r="188" customFormat="false" ht="15" hidden="false" customHeight="false" outlineLevel="0" collapsed="false">
      <c r="A188" s="17"/>
      <c r="B188" s="14"/>
      <c r="C188" s="14"/>
      <c r="D188" s="13"/>
      <c r="E188" s="14"/>
      <c r="F188" s="14"/>
      <c r="G188" s="14"/>
    </row>
    <row r="189" customFormat="false" ht="15" hidden="false" customHeight="false" outlineLevel="0" collapsed="false">
      <c r="A189" s="17"/>
      <c r="B189" s="14"/>
      <c r="C189" s="14"/>
      <c r="D189" s="13"/>
      <c r="E189" s="14"/>
      <c r="F189" s="14"/>
      <c r="G189" s="14"/>
    </row>
    <row r="190" customFormat="false" ht="15" hidden="false" customHeight="false" outlineLevel="0" collapsed="false">
      <c r="A190" s="17"/>
      <c r="B190" s="14"/>
      <c r="C190" s="14"/>
      <c r="D190" s="13"/>
      <c r="E190" s="14"/>
      <c r="F190" s="14"/>
      <c r="G190" s="14"/>
    </row>
    <row r="191" customFormat="false" ht="15" hidden="false" customHeight="false" outlineLevel="0" collapsed="false">
      <c r="A191" s="17"/>
      <c r="B191" s="14"/>
      <c r="C191" s="14"/>
      <c r="D191" s="13"/>
      <c r="E191" s="14"/>
      <c r="F191" s="14"/>
      <c r="G191" s="14"/>
    </row>
    <row r="192" customFormat="false" ht="15" hidden="false" customHeight="false" outlineLevel="0" collapsed="false">
      <c r="A192" s="17"/>
      <c r="B192" s="14"/>
      <c r="C192" s="14"/>
      <c r="D192" s="13"/>
      <c r="E192" s="14"/>
      <c r="F192" s="14"/>
      <c r="G192" s="14"/>
    </row>
    <row r="193" customFormat="false" ht="15" hidden="false" customHeight="false" outlineLevel="0" collapsed="false">
      <c r="A193" s="17"/>
      <c r="B193" s="14"/>
      <c r="C193" s="14"/>
      <c r="D193" s="13"/>
      <c r="E193" s="14"/>
      <c r="F193" s="14"/>
      <c r="G193" s="14"/>
    </row>
    <row r="194" customFormat="false" ht="15" hidden="false" customHeight="false" outlineLevel="0" collapsed="false">
      <c r="A194" s="17"/>
      <c r="B194" s="14"/>
      <c r="C194" s="14"/>
      <c r="D194" s="13"/>
      <c r="E194" s="14"/>
      <c r="F194" s="14"/>
      <c r="G194" s="14"/>
    </row>
    <row r="195" customFormat="false" ht="15" hidden="false" customHeight="false" outlineLevel="0" collapsed="false">
      <c r="A195" s="17"/>
      <c r="B195" s="14"/>
      <c r="C195" s="14"/>
      <c r="D195" s="13"/>
      <c r="E195" s="14"/>
      <c r="F195" s="14"/>
      <c r="G195" s="14"/>
    </row>
    <row r="196" customFormat="false" ht="15" hidden="false" customHeight="false" outlineLevel="0" collapsed="false">
      <c r="A196" s="17"/>
      <c r="B196" s="14"/>
      <c r="C196" s="14"/>
      <c r="D196" s="13"/>
      <c r="E196" s="14"/>
      <c r="F196" s="14"/>
      <c r="G196" s="14"/>
    </row>
    <row r="197" customFormat="false" ht="15" hidden="false" customHeight="false" outlineLevel="0" collapsed="false">
      <c r="A197" s="17"/>
      <c r="B197" s="14"/>
      <c r="C197" s="14"/>
      <c r="D197" s="13"/>
      <c r="E197" s="14"/>
      <c r="F197" s="14"/>
      <c r="G197" s="14"/>
    </row>
    <row r="198" customFormat="false" ht="15" hidden="false" customHeight="false" outlineLevel="0" collapsed="false">
      <c r="A198" s="17"/>
      <c r="B198" s="14"/>
      <c r="C198" s="14"/>
      <c r="D198" s="13"/>
      <c r="E198" s="14"/>
      <c r="F198" s="14"/>
      <c r="G198" s="14"/>
    </row>
    <row r="199" customFormat="false" ht="15" hidden="false" customHeight="false" outlineLevel="0" collapsed="false">
      <c r="A199" s="17"/>
      <c r="B199" s="14"/>
      <c r="C199" s="14"/>
      <c r="D199" s="13"/>
      <c r="E199" s="14"/>
      <c r="F199" s="14"/>
      <c r="G199" s="14"/>
    </row>
    <row r="200" customFormat="false" ht="15" hidden="false" customHeight="false" outlineLevel="0" collapsed="false">
      <c r="A200" s="17"/>
      <c r="B200" s="14"/>
      <c r="C200" s="14"/>
      <c r="D200" s="13"/>
      <c r="E200" s="14"/>
      <c r="F200" s="14"/>
      <c r="G200" s="14"/>
    </row>
    <row r="201" customFormat="false" ht="15" hidden="false" customHeight="false" outlineLevel="0" collapsed="false">
      <c r="A201" s="17"/>
      <c r="B201" s="14"/>
      <c r="C201" s="14"/>
      <c r="D201" s="13"/>
      <c r="E201" s="14"/>
      <c r="F201" s="14"/>
      <c r="G201" s="14"/>
    </row>
    <row r="202" customFormat="false" ht="15" hidden="false" customHeight="false" outlineLevel="0" collapsed="false">
      <c r="A202" s="17"/>
      <c r="B202" s="14"/>
      <c r="C202" s="14"/>
      <c r="D202" s="13"/>
      <c r="E202" s="14"/>
      <c r="F202" s="14"/>
      <c r="G202" s="14"/>
    </row>
    <row r="203" customFormat="false" ht="15" hidden="false" customHeight="false" outlineLevel="0" collapsed="false">
      <c r="A203" s="17"/>
      <c r="B203" s="14"/>
      <c r="C203" s="14"/>
      <c r="D203" s="13"/>
      <c r="E203" s="14"/>
      <c r="F203" s="14"/>
      <c r="G203" s="14"/>
    </row>
    <row r="204" customFormat="false" ht="15" hidden="false" customHeight="false" outlineLevel="0" collapsed="false">
      <c r="A204" s="17"/>
      <c r="B204" s="14"/>
      <c r="C204" s="14"/>
      <c r="D204" s="13"/>
      <c r="E204" s="14"/>
      <c r="F204" s="14"/>
      <c r="G204" s="14"/>
    </row>
    <row r="205" customFormat="false" ht="15" hidden="false" customHeight="false" outlineLevel="0" collapsed="false">
      <c r="A205" s="17"/>
      <c r="B205" s="14"/>
      <c r="C205" s="14"/>
      <c r="D205" s="13"/>
      <c r="E205" s="14"/>
      <c r="F205" s="14"/>
      <c r="G205" s="14"/>
    </row>
    <row r="206" customFormat="false" ht="15" hidden="false" customHeight="false" outlineLevel="0" collapsed="false">
      <c r="A206" s="17"/>
      <c r="B206" s="14"/>
      <c r="C206" s="14"/>
      <c r="D206" s="13"/>
      <c r="E206" s="14"/>
      <c r="F206" s="14"/>
      <c r="G206" s="14"/>
    </row>
    <row r="207" customFormat="false" ht="15" hidden="false" customHeight="false" outlineLevel="0" collapsed="false">
      <c r="A207" s="17"/>
      <c r="B207" s="14"/>
      <c r="C207" s="14"/>
      <c r="D207" s="13"/>
      <c r="E207" s="14"/>
      <c r="F207" s="14"/>
      <c r="G207" s="14"/>
    </row>
    <row r="208" customFormat="false" ht="15" hidden="false" customHeight="false" outlineLevel="0" collapsed="false">
      <c r="A208" s="17"/>
      <c r="B208" s="14"/>
      <c r="C208" s="14"/>
      <c r="D208" s="13"/>
      <c r="E208" s="14"/>
      <c r="F208" s="14"/>
      <c r="G208" s="14"/>
    </row>
    <row r="209" customFormat="false" ht="15" hidden="false" customHeight="false" outlineLevel="0" collapsed="false">
      <c r="A209" s="17"/>
      <c r="B209" s="14"/>
      <c r="C209" s="14"/>
      <c r="D209" s="13"/>
      <c r="E209" s="14"/>
      <c r="F209" s="14"/>
      <c r="G209" s="14"/>
    </row>
    <row r="210" customFormat="false" ht="15" hidden="false" customHeight="false" outlineLevel="0" collapsed="false">
      <c r="A210" s="17"/>
      <c r="B210" s="14"/>
      <c r="C210" s="14"/>
      <c r="D210" s="13"/>
      <c r="E210" s="14"/>
      <c r="F210" s="14"/>
      <c r="G210" s="14"/>
    </row>
    <row r="211" customFormat="false" ht="15" hidden="false" customHeight="false" outlineLevel="0" collapsed="false">
      <c r="A211" s="17"/>
      <c r="B211" s="14"/>
      <c r="C211" s="14"/>
      <c r="D211" s="13"/>
      <c r="E211" s="14"/>
      <c r="F211" s="14"/>
      <c r="G211" s="14"/>
    </row>
    <row r="212" customFormat="false" ht="15" hidden="false" customHeight="false" outlineLevel="0" collapsed="false">
      <c r="A212" s="17"/>
      <c r="B212" s="14"/>
      <c r="C212" s="14"/>
      <c r="D212" s="13"/>
      <c r="E212" s="14"/>
      <c r="F212" s="14"/>
      <c r="G212" s="14"/>
    </row>
    <row r="213" customFormat="false" ht="15" hidden="false" customHeight="false" outlineLevel="0" collapsed="false">
      <c r="A213" s="17"/>
      <c r="B213" s="14"/>
      <c r="C213" s="14"/>
      <c r="D213" s="13"/>
      <c r="E213" s="14"/>
      <c r="F213" s="14"/>
      <c r="G213" s="14"/>
    </row>
    <row r="214" customFormat="false" ht="15" hidden="false" customHeight="false" outlineLevel="0" collapsed="false">
      <c r="A214" s="17"/>
      <c r="B214" s="14"/>
      <c r="C214" s="14"/>
      <c r="D214" s="13"/>
      <c r="E214" s="14"/>
      <c r="F214" s="14"/>
      <c r="G214" s="14"/>
    </row>
    <row r="215" customFormat="false" ht="15" hidden="false" customHeight="false" outlineLevel="0" collapsed="false">
      <c r="A215" s="17"/>
      <c r="B215" s="14"/>
      <c r="C215" s="14"/>
      <c r="D215" s="13"/>
      <c r="E215" s="14"/>
      <c r="F215" s="14"/>
      <c r="G215" s="14"/>
    </row>
    <row r="216" customFormat="false" ht="15" hidden="false" customHeight="false" outlineLevel="0" collapsed="false">
      <c r="A216" s="17"/>
      <c r="B216" s="14"/>
      <c r="C216" s="14"/>
      <c r="D216" s="13"/>
      <c r="E216" s="14"/>
      <c r="F216" s="14"/>
      <c r="G216" s="14"/>
    </row>
    <row r="217" customFormat="false" ht="15" hidden="false" customHeight="false" outlineLevel="0" collapsed="false">
      <c r="A217" s="17"/>
      <c r="B217" s="14"/>
      <c r="C217" s="14"/>
      <c r="D217" s="13"/>
      <c r="E217" s="14"/>
      <c r="F217" s="14"/>
      <c r="G217" s="14"/>
    </row>
    <row r="218" customFormat="false" ht="15" hidden="false" customHeight="false" outlineLevel="0" collapsed="false">
      <c r="A218" s="17"/>
      <c r="B218" s="14"/>
      <c r="C218" s="14"/>
      <c r="D218" s="13"/>
      <c r="E218" s="14"/>
      <c r="F218" s="14"/>
      <c r="G218" s="14"/>
    </row>
    <row r="219" customFormat="false" ht="15" hidden="false" customHeight="false" outlineLevel="0" collapsed="false">
      <c r="A219" s="17"/>
      <c r="B219" s="14"/>
      <c r="C219" s="14"/>
      <c r="D219" s="13"/>
      <c r="E219" s="14"/>
      <c r="F219" s="14"/>
      <c r="G219" s="14"/>
    </row>
    <row r="220" customFormat="false" ht="15" hidden="false" customHeight="false" outlineLevel="0" collapsed="false">
      <c r="A220" s="17"/>
      <c r="B220" s="14"/>
      <c r="C220" s="14"/>
      <c r="D220" s="13"/>
      <c r="E220" s="14"/>
      <c r="F220" s="14"/>
      <c r="G220" s="14"/>
    </row>
    <row r="221" customFormat="false" ht="15" hidden="false" customHeight="false" outlineLevel="0" collapsed="false">
      <c r="A221" s="17"/>
      <c r="B221" s="14"/>
      <c r="C221" s="14"/>
      <c r="D221" s="13"/>
      <c r="E221" s="14"/>
      <c r="F221" s="14"/>
      <c r="G221" s="14"/>
    </row>
    <row r="222" customFormat="false" ht="15" hidden="false" customHeight="false" outlineLevel="0" collapsed="false">
      <c r="A222" s="17"/>
      <c r="B222" s="14"/>
      <c r="C222" s="14"/>
      <c r="D222" s="13"/>
      <c r="E222" s="14"/>
      <c r="F222" s="14"/>
      <c r="G222" s="14"/>
    </row>
    <row r="223" customFormat="false" ht="15" hidden="false" customHeight="false" outlineLevel="0" collapsed="false">
      <c r="A223" s="17"/>
      <c r="B223" s="14"/>
      <c r="C223" s="14"/>
      <c r="D223" s="13"/>
      <c r="E223" s="14"/>
      <c r="F223" s="14"/>
      <c r="G223" s="14"/>
    </row>
    <row r="224" customFormat="false" ht="15" hidden="false" customHeight="false" outlineLevel="0" collapsed="false">
      <c r="A224" s="17"/>
      <c r="B224" s="14"/>
      <c r="C224" s="14"/>
      <c r="D224" s="13"/>
      <c r="E224" s="14"/>
      <c r="F224" s="14"/>
      <c r="G224" s="14"/>
    </row>
    <row r="225" customFormat="false" ht="15" hidden="false" customHeight="false" outlineLevel="0" collapsed="false">
      <c r="A225" s="17"/>
      <c r="B225" s="14"/>
      <c r="C225" s="14"/>
      <c r="D225" s="13"/>
      <c r="E225" s="14"/>
      <c r="F225" s="14"/>
      <c r="G225" s="14"/>
    </row>
    <row r="226" customFormat="false" ht="15" hidden="false" customHeight="false" outlineLevel="0" collapsed="false">
      <c r="A226" s="17"/>
      <c r="B226" s="14"/>
      <c r="C226" s="14"/>
      <c r="D226" s="13"/>
      <c r="E226" s="14"/>
      <c r="F226" s="14"/>
      <c r="G226" s="14"/>
    </row>
    <row r="227" customFormat="false" ht="15" hidden="false" customHeight="false" outlineLevel="0" collapsed="false">
      <c r="A227" s="17"/>
      <c r="B227" s="14"/>
      <c r="C227" s="14"/>
      <c r="D227" s="13"/>
      <c r="E227" s="14"/>
      <c r="F227" s="14"/>
      <c r="G227" s="14"/>
    </row>
    <row r="228" customFormat="false" ht="15" hidden="false" customHeight="false" outlineLevel="0" collapsed="false">
      <c r="A228" s="17"/>
      <c r="B228" s="14"/>
      <c r="C228" s="14"/>
      <c r="D228" s="13"/>
      <c r="E228" s="14"/>
      <c r="F228" s="14"/>
      <c r="G228" s="14"/>
    </row>
    <row r="229" customFormat="false" ht="15" hidden="false" customHeight="false" outlineLevel="0" collapsed="false">
      <c r="A229" s="17"/>
      <c r="B229" s="14"/>
      <c r="C229" s="14"/>
      <c r="D229" s="13"/>
      <c r="E229" s="14"/>
      <c r="F229" s="14"/>
      <c r="G229" s="14"/>
    </row>
    <row r="230" customFormat="false" ht="15" hidden="false" customHeight="false" outlineLevel="0" collapsed="false">
      <c r="A230" s="17"/>
      <c r="B230" s="14"/>
      <c r="C230" s="14"/>
      <c r="D230" s="13"/>
      <c r="E230" s="14"/>
      <c r="F230" s="14"/>
      <c r="G230" s="14"/>
    </row>
    <row r="231" customFormat="false" ht="15" hidden="false" customHeight="false" outlineLevel="0" collapsed="false">
      <c r="A231" s="17"/>
      <c r="B231" s="14"/>
      <c r="C231" s="14"/>
      <c r="D231" s="13"/>
      <c r="E231" s="14"/>
      <c r="F231" s="14"/>
      <c r="G231" s="14"/>
    </row>
    <row r="232" customFormat="false" ht="15" hidden="false" customHeight="false" outlineLevel="0" collapsed="false">
      <c r="A232" s="17"/>
      <c r="B232" s="14"/>
      <c r="C232" s="14"/>
      <c r="D232" s="13"/>
      <c r="E232" s="14"/>
      <c r="F232" s="14"/>
      <c r="G232" s="14"/>
    </row>
    <row r="233" customFormat="false" ht="15" hidden="false" customHeight="false" outlineLevel="0" collapsed="false">
      <c r="A233" s="17"/>
      <c r="B233" s="14"/>
      <c r="C233" s="14"/>
      <c r="D233" s="13"/>
      <c r="E233" s="14"/>
      <c r="F233" s="14"/>
      <c r="G233" s="14"/>
    </row>
    <row r="234" customFormat="false" ht="15" hidden="false" customHeight="false" outlineLevel="0" collapsed="false">
      <c r="A234" s="17"/>
      <c r="B234" s="14"/>
      <c r="C234" s="14"/>
      <c r="D234" s="13"/>
      <c r="E234" s="14"/>
      <c r="F234" s="14"/>
      <c r="G234" s="14"/>
    </row>
    <row r="235" customFormat="false" ht="15" hidden="false" customHeight="false" outlineLevel="0" collapsed="false">
      <c r="A235" s="17"/>
      <c r="B235" s="14"/>
      <c r="C235" s="14"/>
      <c r="D235" s="13"/>
      <c r="E235" s="14"/>
      <c r="F235" s="14"/>
      <c r="G235" s="14"/>
    </row>
    <row r="236" customFormat="false" ht="15" hidden="false" customHeight="false" outlineLevel="0" collapsed="false">
      <c r="A236" s="17"/>
      <c r="B236" s="14"/>
      <c r="C236" s="14"/>
      <c r="D236" s="13"/>
      <c r="E236" s="14"/>
      <c r="F236" s="14"/>
      <c r="G236" s="14"/>
    </row>
    <row r="237" customFormat="false" ht="15" hidden="false" customHeight="false" outlineLevel="0" collapsed="false">
      <c r="A237" s="17"/>
      <c r="B237" s="14"/>
      <c r="C237" s="14"/>
      <c r="D237" s="13"/>
      <c r="E237" s="14"/>
      <c r="F237" s="14"/>
      <c r="G237" s="14"/>
    </row>
    <row r="238" customFormat="false" ht="15" hidden="false" customHeight="false" outlineLevel="0" collapsed="false">
      <c r="A238" s="17"/>
      <c r="B238" s="14"/>
      <c r="C238" s="14"/>
      <c r="D238" s="13"/>
      <c r="E238" s="14"/>
      <c r="F238" s="14"/>
      <c r="G238" s="14"/>
    </row>
    <row r="239" customFormat="false" ht="15" hidden="false" customHeight="false" outlineLevel="0" collapsed="false">
      <c r="A239" s="17"/>
      <c r="B239" s="14"/>
      <c r="C239" s="14"/>
      <c r="D239" s="13"/>
      <c r="E239" s="14"/>
      <c r="F239" s="14"/>
      <c r="G239" s="14"/>
    </row>
    <row r="240" customFormat="false" ht="15" hidden="false" customHeight="false" outlineLevel="0" collapsed="false">
      <c r="A240" s="17"/>
      <c r="B240" s="14"/>
      <c r="C240" s="14"/>
      <c r="D240" s="13"/>
      <c r="E240" s="14"/>
      <c r="F240" s="14"/>
      <c r="G240" s="14"/>
    </row>
    <row r="241" customFormat="false" ht="15" hidden="false" customHeight="false" outlineLevel="0" collapsed="false">
      <c r="A241" s="17"/>
      <c r="B241" s="14"/>
      <c r="C241" s="14"/>
      <c r="D241" s="13"/>
      <c r="E241" s="14"/>
      <c r="F241" s="14"/>
      <c r="G241" s="14"/>
    </row>
    <row r="242" customFormat="false" ht="15" hidden="false" customHeight="false" outlineLevel="0" collapsed="false">
      <c r="A242" s="17"/>
      <c r="B242" s="14"/>
      <c r="C242" s="14"/>
      <c r="D242" s="13"/>
      <c r="E242" s="14"/>
      <c r="F242" s="14"/>
      <c r="G242" s="14"/>
    </row>
    <row r="243" customFormat="false" ht="15" hidden="false" customHeight="false" outlineLevel="0" collapsed="false">
      <c r="A243" s="17"/>
      <c r="B243" s="14"/>
      <c r="C243" s="14"/>
      <c r="D243" s="13"/>
      <c r="E243" s="14"/>
      <c r="F243" s="14"/>
      <c r="G243" s="14"/>
    </row>
    <row r="244" customFormat="false" ht="15" hidden="false" customHeight="false" outlineLevel="0" collapsed="false">
      <c r="A244" s="17"/>
      <c r="B244" s="14"/>
      <c r="C244" s="14"/>
      <c r="D244" s="13"/>
      <c r="E244" s="14"/>
      <c r="F244" s="14"/>
      <c r="G244" s="14"/>
    </row>
    <row r="245" customFormat="false" ht="15" hidden="false" customHeight="false" outlineLevel="0" collapsed="false">
      <c r="A245" s="17"/>
      <c r="B245" s="14"/>
      <c r="C245" s="14"/>
      <c r="D245" s="13"/>
      <c r="E245" s="14"/>
      <c r="F245" s="14"/>
      <c r="G245" s="14"/>
    </row>
    <row r="246" customFormat="false" ht="15" hidden="false" customHeight="false" outlineLevel="0" collapsed="false">
      <c r="A246" s="17"/>
      <c r="B246" s="14"/>
      <c r="C246" s="14"/>
      <c r="D246" s="13"/>
      <c r="E246" s="14"/>
      <c r="F246" s="14"/>
      <c r="G246" s="14"/>
    </row>
    <row r="247" customFormat="false" ht="15" hidden="false" customHeight="false" outlineLevel="0" collapsed="false">
      <c r="A247" s="17"/>
      <c r="B247" s="14"/>
      <c r="C247" s="14"/>
      <c r="D247" s="13"/>
      <c r="E247" s="14"/>
      <c r="F247" s="14"/>
      <c r="G247" s="14"/>
    </row>
    <row r="248" customFormat="false" ht="15" hidden="false" customHeight="false" outlineLevel="0" collapsed="false">
      <c r="A248" s="17"/>
      <c r="B248" s="14"/>
      <c r="C248" s="14"/>
      <c r="D248" s="13"/>
      <c r="E248" s="14"/>
      <c r="F248" s="14"/>
      <c r="G248" s="14"/>
    </row>
    <row r="249" customFormat="false" ht="15" hidden="false" customHeight="false" outlineLevel="0" collapsed="false">
      <c r="A249" s="17"/>
      <c r="B249" s="14"/>
      <c r="C249" s="14"/>
      <c r="D249" s="13"/>
      <c r="E249" s="14"/>
      <c r="F249" s="14"/>
      <c r="G249" s="14"/>
    </row>
    <row r="250" customFormat="false" ht="15" hidden="false" customHeight="false" outlineLevel="0" collapsed="false">
      <c r="A250" s="17"/>
      <c r="B250" s="14"/>
      <c r="C250" s="14"/>
      <c r="D250" s="13"/>
      <c r="E250" s="14"/>
      <c r="F250" s="14"/>
      <c r="G250" s="14"/>
    </row>
    <row r="251" customFormat="false" ht="15" hidden="false" customHeight="false" outlineLevel="0" collapsed="false">
      <c r="A251" s="17"/>
      <c r="B251" s="14"/>
      <c r="C251" s="14"/>
      <c r="D251" s="13"/>
      <c r="E251" s="14"/>
      <c r="F251" s="14"/>
      <c r="G251" s="14"/>
    </row>
    <row r="252" customFormat="false" ht="15" hidden="false" customHeight="false" outlineLevel="0" collapsed="false">
      <c r="A252" s="17"/>
      <c r="B252" s="14"/>
      <c r="C252" s="14"/>
      <c r="D252" s="13"/>
      <c r="E252" s="14"/>
      <c r="F252" s="14"/>
      <c r="G252" s="14"/>
    </row>
    <row r="253" customFormat="false" ht="15" hidden="false" customHeight="false" outlineLevel="0" collapsed="false">
      <c r="A253" s="17"/>
      <c r="B253" s="14"/>
      <c r="C253" s="14"/>
      <c r="D253" s="13"/>
      <c r="E253" s="14"/>
      <c r="F253" s="14"/>
      <c r="G253" s="14"/>
    </row>
    <row r="254" customFormat="false" ht="15" hidden="false" customHeight="false" outlineLevel="0" collapsed="false">
      <c r="A254" s="17"/>
      <c r="B254" s="14"/>
      <c r="C254" s="14"/>
      <c r="D254" s="13"/>
      <c r="E254" s="14"/>
      <c r="F254" s="14"/>
      <c r="G254" s="14"/>
    </row>
    <row r="255" customFormat="false" ht="15" hidden="false" customHeight="false" outlineLevel="0" collapsed="false">
      <c r="A255" s="17"/>
      <c r="B255" s="14"/>
      <c r="C255" s="14"/>
      <c r="D255" s="13"/>
      <c r="E255" s="14"/>
      <c r="F255" s="14"/>
      <c r="G255" s="14"/>
    </row>
    <row r="256" customFormat="false" ht="15" hidden="false" customHeight="false" outlineLevel="0" collapsed="false">
      <c r="A256" s="17"/>
      <c r="B256" s="14"/>
      <c r="C256" s="14"/>
      <c r="D256" s="13"/>
      <c r="E256" s="14"/>
      <c r="F256" s="14"/>
      <c r="G256" s="14"/>
    </row>
    <row r="257" customFormat="false" ht="15" hidden="false" customHeight="false" outlineLevel="0" collapsed="false">
      <c r="A257" s="17"/>
      <c r="B257" s="14"/>
      <c r="C257" s="14"/>
      <c r="D257" s="13"/>
      <c r="E257" s="14"/>
      <c r="F257" s="14"/>
      <c r="G257" s="14"/>
    </row>
    <row r="258" customFormat="false" ht="15" hidden="false" customHeight="false" outlineLevel="0" collapsed="false">
      <c r="A258" s="17"/>
      <c r="B258" s="14"/>
      <c r="C258" s="14"/>
      <c r="D258" s="13"/>
      <c r="E258" s="14"/>
      <c r="F258" s="14"/>
      <c r="G258" s="14"/>
    </row>
    <row r="259" customFormat="false" ht="15" hidden="false" customHeight="false" outlineLevel="0" collapsed="false">
      <c r="A259" s="17"/>
      <c r="B259" s="14"/>
      <c r="C259" s="14"/>
      <c r="D259" s="13"/>
      <c r="E259" s="14"/>
      <c r="F259" s="14"/>
      <c r="G259" s="14"/>
    </row>
    <row r="260" customFormat="false" ht="15" hidden="false" customHeight="false" outlineLevel="0" collapsed="false">
      <c r="A260" s="17"/>
      <c r="B260" s="14"/>
      <c r="C260" s="14"/>
      <c r="D260" s="13"/>
      <c r="E260" s="14"/>
      <c r="F260" s="14"/>
      <c r="G260" s="14"/>
    </row>
    <row r="261" customFormat="false" ht="15" hidden="false" customHeight="false" outlineLevel="0" collapsed="false">
      <c r="A261" s="17"/>
      <c r="B261" s="14"/>
      <c r="C261" s="14"/>
      <c r="D261" s="13"/>
      <c r="E261" s="14"/>
      <c r="F261" s="14"/>
      <c r="G261" s="14"/>
    </row>
    <row r="262" customFormat="false" ht="15" hidden="false" customHeight="false" outlineLevel="0" collapsed="false">
      <c r="A262" s="17"/>
      <c r="B262" s="14"/>
      <c r="C262" s="14"/>
      <c r="D262" s="13"/>
      <c r="E262" s="14"/>
      <c r="F262" s="14"/>
      <c r="G262" s="14"/>
    </row>
    <row r="263" customFormat="false" ht="15" hidden="false" customHeight="false" outlineLevel="0" collapsed="false">
      <c r="A263" s="17"/>
      <c r="B263" s="14"/>
      <c r="C263" s="14"/>
      <c r="D263" s="13"/>
      <c r="E263" s="14"/>
      <c r="F263" s="14"/>
      <c r="G263" s="14"/>
    </row>
    <row r="264" customFormat="false" ht="15" hidden="false" customHeight="false" outlineLevel="0" collapsed="false">
      <c r="A264" s="17"/>
      <c r="B264" s="14"/>
      <c r="C264" s="14"/>
      <c r="D264" s="13"/>
      <c r="E264" s="14"/>
      <c r="F264" s="14"/>
      <c r="G264" s="14"/>
    </row>
    <row r="265" customFormat="false" ht="15" hidden="false" customHeight="false" outlineLevel="0" collapsed="false">
      <c r="A265" s="17"/>
      <c r="B265" s="14"/>
      <c r="C265" s="14"/>
      <c r="D265" s="13"/>
      <c r="E265" s="14"/>
      <c r="F265" s="14"/>
      <c r="G265" s="14"/>
    </row>
    <row r="266" customFormat="false" ht="15" hidden="false" customHeight="false" outlineLevel="0" collapsed="false">
      <c r="A266" s="17"/>
      <c r="B266" s="14"/>
      <c r="C266" s="14"/>
      <c r="D266" s="13"/>
      <c r="E266" s="14"/>
      <c r="F266" s="14"/>
      <c r="G266" s="14"/>
    </row>
    <row r="267" customFormat="false" ht="15" hidden="false" customHeight="false" outlineLevel="0" collapsed="false">
      <c r="A267" s="17"/>
      <c r="B267" s="14"/>
      <c r="C267" s="14"/>
      <c r="D267" s="13"/>
      <c r="E267" s="14"/>
      <c r="F267" s="14"/>
      <c r="G267" s="14"/>
    </row>
    <row r="268" customFormat="false" ht="15" hidden="false" customHeight="false" outlineLevel="0" collapsed="false">
      <c r="A268" s="17"/>
      <c r="B268" s="14"/>
      <c r="C268" s="14"/>
      <c r="D268" s="13"/>
      <c r="E268" s="14"/>
      <c r="F268" s="14"/>
      <c r="G268" s="14"/>
    </row>
    <row r="269" customFormat="false" ht="15" hidden="false" customHeight="false" outlineLevel="0" collapsed="false">
      <c r="A269" s="17"/>
      <c r="B269" s="14"/>
      <c r="C269" s="14"/>
      <c r="D269" s="13"/>
      <c r="E269" s="14"/>
      <c r="F269" s="14"/>
      <c r="G269" s="14"/>
    </row>
    <row r="270" customFormat="false" ht="15" hidden="false" customHeight="false" outlineLevel="0" collapsed="false">
      <c r="A270" s="17"/>
      <c r="B270" s="14"/>
      <c r="C270" s="14"/>
      <c r="D270" s="13"/>
      <c r="E270" s="14"/>
      <c r="F270" s="14"/>
      <c r="G270" s="14"/>
    </row>
    <row r="271" customFormat="false" ht="15" hidden="false" customHeight="false" outlineLevel="0" collapsed="false">
      <c r="A271" s="17"/>
      <c r="B271" s="14"/>
      <c r="C271" s="14"/>
      <c r="D271" s="13"/>
      <c r="E271" s="14"/>
      <c r="F271" s="14"/>
      <c r="G271" s="14"/>
    </row>
    <row r="272" customFormat="false" ht="15" hidden="false" customHeight="false" outlineLevel="0" collapsed="false">
      <c r="A272" s="17"/>
      <c r="B272" s="14"/>
      <c r="C272" s="14"/>
      <c r="D272" s="13"/>
      <c r="E272" s="14"/>
      <c r="F272" s="14"/>
      <c r="G272" s="14"/>
    </row>
    <row r="273" customFormat="false" ht="15" hidden="false" customHeight="false" outlineLevel="0" collapsed="false">
      <c r="A273" s="17"/>
      <c r="B273" s="14"/>
      <c r="C273" s="14"/>
      <c r="D273" s="13"/>
      <c r="E273" s="14"/>
      <c r="F273" s="14"/>
      <c r="G273" s="14"/>
    </row>
    <row r="274" customFormat="false" ht="15" hidden="false" customHeight="false" outlineLevel="0" collapsed="false">
      <c r="A274" s="17"/>
      <c r="B274" s="14"/>
      <c r="C274" s="14"/>
      <c r="D274" s="13"/>
      <c r="E274" s="14"/>
      <c r="F274" s="14"/>
      <c r="G274" s="14"/>
    </row>
    <row r="275" customFormat="false" ht="15" hidden="false" customHeight="false" outlineLevel="0" collapsed="false">
      <c r="A275" s="17"/>
      <c r="B275" s="14"/>
      <c r="C275" s="14"/>
      <c r="D275" s="13"/>
      <c r="E275" s="14"/>
      <c r="F275" s="14"/>
      <c r="G275" s="14"/>
    </row>
    <row r="276" customFormat="false" ht="15" hidden="false" customHeight="false" outlineLevel="0" collapsed="false">
      <c r="A276" s="17"/>
      <c r="B276" s="14"/>
      <c r="C276" s="14"/>
      <c r="D276" s="13"/>
      <c r="E276" s="14"/>
      <c r="F276" s="14"/>
      <c r="G276" s="14"/>
    </row>
    <row r="277" customFormat="false" ht="15" hidden="false" customHeight="false" outlineLevel="0" collapsed="false">
      <c r="A277" s="17"/>
      <c r="B277" s="14"/>
      <c r="C277" s="14"/>
      <c r="D277" s="13"/>
      <c r="E277" s="14"/>
      <c r="F277" s="14"/>
      <c r="G277" s="14"/>
    </row>
    <row r="278" customFormat="false" ht="15" hidden="false" customHeight="false" outlineLevel="0" collapsed="false">
      <c r="A278" s="17"/>
      <c r="B278" s="14"/>
      <c r="C278" s="14"/>
      <c r="D278" s="13"/>
      <c r="E278" s="14"/>
      <c r="F278" s="14"/>
      <c r="G278" s="14"/>
    </row>
    <row r="279" customFormat="false" ht="15" hidden="false" customHeight="false" outlineLevel="0" collapsed="false">
      <c r="A279" s="17"/>
      <c r="B279" s="14"/>
      <c r="C279" s="14"/>
      <c r="D279" s="13"/>
      <c r="E279" s="14"/>
      <c r="F279" s="14"/>
      <c r="G279" s="14"/>
    </row>
    <row r="280" customFormat="false" ht="15" hidden="false" customHeight="false" outlineLevel="0" collapsed="false">
      <c r="A280" s="17"/>
      <c r="B280" s="14"/>
      <c r="C280" s="14"/>
      <c r="D280" s="13"/>
      <c r="E280" s="14"/>
      <c r="F280" s="14"/>
      <c r="G280" s="14"/>
    </row>
    <row r="281" customFormat="false" ht="15" hidden="false" customHeight="false" outlineLevel="0" collapsed="false">
      <c r="A281" s="17"/>
      <c r="B281" s="14"/>
      <c r="C281" s="14"/>
      <c r="D281" s="13"/>
      <c r="E281" s="14"/>
      <c r="F281" s="14"/>
      <c r="G281" s="14"/>
    </row>
    <row r="282" customFormat="false" ht="15" hidden="false" customHeight="false" outlineLevel="0" collapsed="false">
      <c r="A282" s="17"/>
      <c r="B282" s="14"/>
      <c r="C282" s="14"/>
      <c r="D282" s="13"/>
      <c r="E282" s="14"/>
      <c r="F282" s="14"/>
      <c r="G282" s="14"/>
    </row>
    <row r="283" customFormat="false" ht="15" hidden="false" customHeight="false" outlineLevel="0" collapsed="false">
      <c r="A283" s="17"/>
      <c r="B283" s="14"/>
      <c r="C283" s="14"/>
      <c r="D283" s="13"/>
      <c r="E283" s="14"/>
      <c r="F283" s="14"/>
      <c r="G283" s="14"/>
    </row>
    <row r="284" customFormat="false" ht="15" hidden="false" customHeight="false" outlineLevel="0" collapsed="false">
      <c r="A284" s="17"/>
      <c r="B284" s="14"/>
      <c r="C284" s="14"/>
      <c r="D284" s="13"/>
      <c r="E284" s="14"/>
      <c r="F284" s="14"/>
      <c r="G284" s="14"/>
    </row>
    <row r="285" customFormat="false" ht="15" hidden="false" customHeight="false" outlineLevel="0" collapsed="false">
      <c r="A285" s="17"/>
      <c r="B285" s="14"/>
      <c r="C285" s="14"/>
      <c r="D285" s="13"/>
      <c r="E285" s="14"/>
      <c r="F285" s="14"/>
      <c r="G285" s="14"/>
    </row>
    <row r="286" customFormat="false" ht="15" hidden="false" customHeight="false" outlineLevel="0" collapsed="false">
      <c r="A286" s="17"/>
      <c r="B286" s="14"/>
      <c r="C286" s="14"/>
      <c r="D286" s="13"/>
      <c r="E286" s="14"/>
      <c r="F286" s="14"/>
      <c r="G286" s="14"/>
    </row>
    <row r="287" customFormat="false" ht="15" hidden="false" customHeight="false" outlineLevel="0" collapsed="false">
      <c r="A287" s="17"/>
      <c r="B287" s="14"/>
      <c r="C287" s="14"/>
      <c r="D287" s="13"/>
      <c r="E287" s="14"/>
      <c r="F287" s="14"/>
      <c r="G287" s="14"/>
    </row>
    <row r="288" customFormat="false" ht="15" hidden="false" customHeight="false" outlineLevel="0" collapsed="false">
      <c r="A288" s="17"/>
      <c r="B288" s="14"/>
      <c r="C288" s="14"/>
      <c r="D288" s="13"/>
      <c r="E288" s="14"/>
      <c r="F288" s="14"/>
      <c r="G288" s="14"/>
    </row>
    <row r="289" customFormat="false" ht="15" hidden="false" customHeight="false" outlineLevel="0" collapsed="false">
      <c r="A289" s="17"/>
      <c r="B289" s="14"/>
      <c r="C289" s="14"/>
      <c r="D289" s="13"/>
      <c r="E289" s="14"/>
      <c r="F289" s="14"/>
      <c r="G289" s="14"/>
    </row>
    <row r="290" customFormat="false" ht="15" hidden="false" customHeight="false" outlineLevel="0" collapsed="false">
      <c r="A290" s="17"/>
      <c r="B290" s="14"/>
      <c r="C290" s="14"/>
      <c r="D290" s="13"/>
      <c r="E290" s="14"/>
      <c r="F290" s="14"/>
      <c r="G290" s="14"/>
    </row>
    <row r="291" customFormat="false" ht="15" hidden="false" customHeight="false" outlineLevel="0" collapsed="false">
      <c r="A291" s="17"/>
      <c r="B291" s="14"/>
      <c r="C291" s="14"/>
      <c r="D291" s="13"/>
      <c r="E291" s="14"/>
      <c r="F291" s="14"/>
      <c r="G291" s="14"/>
    </row>
    <row r="292" customFormat="false" ht="15" hidden="false" customHeight="false" outlineLevel="0" collapsed="false">
      <c r="A292" s="17"/>
      <c r="B292" s="14"/>
      <c r="C292" s="14"/>
      <c r="D292" s="13"/>
      <c r="E292" s="14"/>
      <c r="F292" s="14"/>
      <c r="G292" s="14"/>
    </row>
    <row r="293" customFormat="false" ht="15" hidden="false" customHeight="false" outlineLevel="0" collapsed="false">
      <c r="A293" s="17"/>
      <c r="B293" s="14"/>
      <c r="C293" s="14"/>
      <c r="D293" s="13"/>
      <c r="E293" s="14"/>
      <c r="F293" s="14"/>
      <c r="G293" s="14"/>
    </row>
    <row r="294" customFormat="false" ht="15" hidden="false" customHeight="false" outlineLevel="0" collapsed="false">
      <c r="A294" s="17"/>
      <c r="B294" s="14"/>
      <c r="C294" s="14"/>
      <c r="D294" s="13"/>
      <c r="E294" s="14"/>
      <c r="F294" s="14"/>
      <c r="G294" s="14"/>
    </row>
    <row r="295" customFormat="false" ht="15" hidden="false" customHeight="false" outlineLevel="0" collapsed="false">
      <c r="A295" s="17"/>
      <c r="B295" s="14"/>
      <c r="C295" s="14"/>
      <c r="D295" s="13"/>
      <c r="E295" s="14"/>
      <c r="F295" s="14"/>
      <c r="G295" s="14"/>
    </row>
    <row r="296" customFormat="false" ht="15" hidden="false" customHeight="false" outlineLevel="0" collapsed="false">
      <c r="A296" s="17"/>
      <c r="B296" s="14"/>
      <c r="C296" s="14"/>
      <c r="D296" s="13"/>
      <c r="E296" s="14"/>
      <c r="F296" s="14"/>
      <c r="G296" s="14"/>
    </row>
    <row r="297" customFormat="false" ht="15" hidden="false" customHeight="false" outlineLevel="0" collapsed="false">
      <c r="A297" s="17"/>
      <c r="B297" s="14"/>
      <c r="C297" s="14"/>
      <c r="D297" s="13"/>
      <c r="E297" s="14"/>
      <c r="F297" s="14"/>
      <c r="G297" s="14"/>
    </row>
    <row r="298" customFormat="false" ht="15" hidden="false" customHeight="false" outlineLevel="0" collapsed="false">
      <c r="A298" s="17"/>
      <c r="B298" s="14"/>
      <c r="C298" s="14"/>
      <c r="D298" s="13"/>
      <c r="E298" s="14"/>
      <c r="F298" s="14"/>
      <c r="G298" s="14"/>
    </row>
    <row r="299" customFormat="false" ht="15" hidden="false" customHeight="false" outlineLevel="0" collapsed="false">
      <c r="A299" s="17"/>
      <c r="B299" s="14"/>
      <c r="C299" s="14"/>
      <c r="D299" s="13"/>
      <c r="E299" s="14"/>
      <c r="F299" s="14"/>
      <c r="G299" s="14"/>
    </row>
    <row r="300" customFormat="false" ht="15" hidden="false" customHeight="false" outlineLevel="0" collapsed="false">
      <c r="A300" s="17"/>
      <c r="B300" s="14"/>
      <c r="C300" s="14"/>
      <c r="D300" s="13"/>
      <c r="E300" s="14"/>
      <c r="F300" s="14"/>
      <c r="G300" s="14"/>
    </row>
    <row r="301" customFormat="false" ht="15" hidden="false" customHeight="false" outlineLevel="0" collapsed="false">
      <c r="A301" s="17"/>
      <c r="B301" s="14"/>
      <c r="C301" s="14"/>
      <c r="D301" s="13"/>
      <c r="E301" s="14"/>
      <c r="F301" s="14"/>
      <c r="G301" s="14"/>
    </row>
    <row r="302" customFormat="false" ht="15" hidden="false" customHeight="false" outlineLevel="0" collapsed="false">
      <c r="A302" s="17"/>
      <c r="B302" s="14"/>
      <c r="C302" s="14"/>
      <c r="D302" s="13"/>
      <c r="E302" s="14"/>
      <c r="F302" s="14"/>
      <c r="G302" s="14"/>
    </row>
    <row r="303" customFormat="false" ht="15" hidden="false" customHeight="false" outlineLevel="0" collapsed="false">
      <c r="A303" s="17"/>
      <c r="B303" s="14"/>
      <c r="C303" s="14"/>
      <c r="D303" s="13"/>
      <c r="E303" s="14"/>
      <c r="F303" s="14"/>
      <c r="G303" s="14"/>
    </row>
    <row r="304" customFormat="false" ht="15" hidden="false" customHeight="false" outlineLevel="0" collapsed="false">
      <c r="A304" s="17"/>
      <c r="B304" s="14"/>
      <c r="C304" s="14"/>
      <c r="D304" s="13"/>
      <c r="E304" s="14"/>
      <c r="F304" s="14"/>
      <c r="G304" s="14"/>
    </row>
    <row r="305" customFormat="false" ht="15" hidden="false" customHeight="false" outlineLevel="0" collapsed="false">
      <c r="A305" s="17"/>
      <c r="B305" s="14"/>
      <c r="C305" s="14"/>
      <c r="D305" s="13"/>
      <c r="E305" s="14"/>
      <c r="F305" s="14"/>
      <c r="G305" s="14"/>
    </row>
    <row r="306" customFormat="false" ht="15" hidden="false" customHeight="false" outlineLevel="0" collapsed="false">
      <c r="A306" s="17"/>
      <c r="B306" s="14"/>
      <c r="C306" s="14"/>
      <c r="D306" s="13"/>
      <c r="E306" s="14"/>
      <c r="F306" s="14"/>
      <c r="G306" s="14"/>
    </row>
    <row r="307" customFormat="false" ht="15" hidden="false" customHeight="false" outlineLevel="0" collapsed="false">
      <c r="A307" s="17"/>
      <c r="B307" s="14"/>
      <c r="C307" s="14"/>
      <c r="D307" s="13"/>
      <c r="E307" s="14"/>
      <c r="F307" s="14"/>
      <c r="G307" s="14"/>
    </row>
    <row r="308" customFormat="false" ht="15" hidden="false" customHeight="false" outlineLevel="0" collapsed="false">
      <c r="A308" s="17"/>
      <c r="B308" s="14"/>
      <c r="C308" s="14"/>
      <c r="D308" s="13"/>
      <c r="E308" s="14"/>
      <c r="F308" s="14"/>
      <c r="G308" s="14"/>
    </row>
    <row r="309" customFormat="false" ht="15" hidden="false" customHeight="false" outlineLevel="0" collapsed="false">
      <c r="A309" s="17"/>
      <c r="B309" s="14"/>
      <c r="C309" s="14"/>
      <c r="D309" s="13"/>
      <c r="E309" s="14"/>
      <c r="F309" s="14"/>
      <c r="G309" s="14"/>
    </row>
    <row r="310" customFormat="false" ht="15" hidden="false" customHeight="false" outlineLevel="0" collapsed="false">
      <c r="A310" s="17"/>
      <c r="B310" s="14"/>
      <c r="C310" s="14"/>
      <c r="D310" s="13"/>
      <c r="E310" s="14"/>
      <c r="F310" s="14"/>
      <c r="G310" s="14"/>
    </row>
    <row r="311" customFormat="false" ht="15" hidden="false" customHeight="false" outlineLevel="0" collapsed="false">
      <c r="A311" s="17"/>
      <c r="B311" s="14"/>
      <c r="C311" s="14"/>
      <c r="D311" s="13"/>
      <c r="E311" s="14"/>
      <c r="F311" s="14"/>
      <c r="G311" s="14"/>
    </row>
    <row r="312" customFormat="false" ht="15" hidden="false" customHeight="false" outlineLevel="0" collapsed="false">
      <c r="A312" s="17"/>
      <c r="B312" s="14"/>
      <c r="C312" s="14"/>
      <c r="D312" s="13"/>
      <c r="E312" s="14"/>
      <c r="F312" s="14"/>
      <c r="G312" s="14"/>
    </row>
    <row r="313" customFormat="false" ht="15" hidden="false" customHeight="false" outlineLevel="0" collapsed="false">
      <c r="A313" s="17"/>
      <c r="B313" s="14"/>
      <c r="C313" s="14"/>
      <c r="D313" s="13"/>
      <c r="E313" s="14"/>
      <c r="F313" s="14"/>
      <c r="G313" s="14"/>
    </row>
    <row r="314" customFormat="false" ht="15" hidden="false" customHeight="false" outlineLevel="0" collapsed="false">
      <c r="A314" s="17"/>
      <c r="B314" s="14"/>
      <c r="C314" s="14"/>
      <c r="D314" s="13"/>
      <c r="E314" s="14"/>
      <c r="F314" s="14"/>
      <c r="G314" s="14"/>
    </row>
    <row r="315" customFormat="false" ht="15" hidden="false" customHeight="false" outlineLevel="0" collapsed="false">
      <c r="A315" s="17"/>
      <c r="B315" s="14"/>
      <c r="C315" s="14"/>
      <c r="D315" s="13"/>
      <c r="E315" s="14"/>
      <c r="F315" s="14"/>
      <c r="G315" s="14"/>
    </row>
    <row r="316" customFormat="false" ht="15" hidden="false" customHeight="false" outlineLevel="0" collapsed="false">
      <c r="A316" s="17"/>
      <c r="B316" s="14"/>
      <c r="C316" s="14"/>
      <c r="D316" s="13"/>
      <c r="E316" s="14"/>
      <c r="F316" s="14"/>
      <c r="G316" s="14"/>
    </row>
    <row r="317" customFormat="false" ht="15" hidden="false" customHeight="false" outlineLevel="0" collapsed="false">
      <c r="A317" s="17"/>
      <c r="B317" s="14"/>
      <c r="C317" s="14"/>
      <c r="D317" s="13"/>
      <c r="E317" s="14"/>
      <c r="F317" s="14"/>
      <c r="G317" s="14"/>
    </row>
    <row r="318" customFormat="false" ht="15" hidden="false" customHeight="false" outlineLevel="0" collapsed="false">
      <c r="A318" s="17"/>
      <c r="B318" s="14"/>
      <c r="C318" s="14"/>
      <c r="D318" s="13"/>
      <c r="E318" s="14"/>
      <c r="F318" s="14"/>
      <c r="G318" s="14"/>
    </row>
    <row r="319" customFormat="false" ht="15" hidden="false" customHeight="false" outlineLevel="0" collapsed="false">
      <c r="A319" s="17"/>
      <c r="B319" s="14"/>
      <c r="C319" s="14"/>
      <c r="D319" s="13"/>
      <c r="E319" s="14"/>
      <c r="F319" s="14"/>
      <c r="G319" s="14"/>
    </row>
    <row r="320" customFormat="false" ht="15" hidden="false" customHeight="false" outlineLevel="0" collapsed="false">
      <c r="A320" s="17"/>
      <c r="B320" s="14"/>
      <c r="C320" s="14"/>
      <c r="D320" s="13"/>
      <c r="E320" s="14"/>
      <c r="F320" s="14"/>
      <c r="G320" s="14"/>
    </row>
    <row r="321" customFormat="false" ht="15" hidden="false" customHeight="false" outlineLevel="0" collapsed="false">
      <c r="A321" s="17"/>
      <c r="B321" s="14"/>
      <c r="C321" s="14"/>
      <c r="D321" s="13"/>
      <c r="E321" s="14"/>
      <c r="F321" s="14"/>
      <c r="G321" s="14"/>
    </row>
    <row r="322" customFormat="false" ht="15" hidden="false" customHeight="false" outlineLevel="0" collapsed="false">
      <c r="A322" s="17"/>
      <c r="B322" s="14"/>
      <c r="C322" s="14"/>
      <c r="D322" s="13"/>
      <c r="E322" s="14"/>
      <c r="F322" s="14"/>
      <c r="G322" s="14"/>
    </row>
    <row r="323" customFormat="false" ht="15" hidden="false" customHeight="false" outlineLevel="0" collapsed="false">
      <c r="A323" s="17"/>
      <c r="B323" s="14"/>
      <c r="C323" s="14"/>
      <c r="D323" s="13"/>
      <c r="E323" s="14"/>
      <c r="F323" s="14"/>
      <c r="G323" s="14"/>
    </row>
    <row r="324" customFormat="false" ht="15" hidden="false" customHeight="false" outlineLevel="0" collapsed="false">
      <c r="A324" s="17"/>
      <c r="B324" s="14"/>
      <c r="C324" s="14"/>
      <c r="D324" s="13"/>
      <c r="E324" s="14"/>
      <c r="F324" s="14"/>
      <c r="G324" s="14"/>
    </row>
    <row r="325" customFormat="false" ht="15" hidden="false" customHeight="false" outlineLevel="0" collapsed="false">
      <c r="A325" s="17"/>
      <c r="B325" s="14"/>
      <c r="C325" s="14"/>
      <c r="D325" s="13"/>
      <c r="E325" s="14"/>
      <c r="F325" s="14"/>
      <c r="G325" s="14"/>
    </row>
    <row r="326" customFormat="false" ht="15" hidden="false" customHeight="false" outlineLevel="0" collapsed="false">
      <c r="A326" s="17"/>
      <c r="B326" s="14"/>
      <c r="C326" s="14"/>
      <c r="D326" s="13"/>
      <c r="E326" s="14"/>
      <c r="F326" s="14"/>
      <c r="G326" s="14"/>
    </row>
    <row r="327" customFormat="false" ht="15" hidden="false" customHeight="false" outlineLevel="0" collapsed="false">
      <c r="A327" s="17"/>
      <c r="B327" s="14"/>
      <c r="C327" s="14"/>
      <c r="D327" s="13"/>
      <c r="E327" s="14"/>
      <c r="F327" s="14"/>
      <c r="G327" s="14"/>
    </row>
    <row r="328" customFormat="false" ht="15" hidden="false" customHeight="false" outlineLevel="0" collapsed="false">
      <c r="A328" s="17"/>
      <c r="B328" s="14"/>
      <c r="C328" s="14"/>
      <c r="D328" s="13"/>
      <c r="E328" s="14"/>
      <c r="F328" s="14"/>
      <c r="G328" s="14"/>
    </row>
    <row r="329" customFormat="false" ht="15" hidden="false" customHeight="false" outlineLevel="0" collapsed="false">
      <c r="A329" s="17"/>
      <c r="B329" s="14"/>
      <c r="C329" s="14"/>
      <c r="D329" s="13"/>
      <c r="E329" s="14"/>
      <c r="F329" s="14"/>
      <c r="G329" s="14"/>
    </row>
    <row r="330" customFormat="false" ht="15" hidden="false" customHeight="false" outlineLevel="0" collapsed="false">
      <c r="A330" s="17"/>
      <c r="B330" s="14"/>
      <c r="C330" s="14"/>
      <c r="D330" s="13"/>
      <c r="E330" s="14"/>
      <c r="F330" s="14"/>
      <c r="G330" s="14"/>
    </row>
    <row r="331" customFormat="false" ht="15" hidden="false" customHeight="false" outlineLevel="0" collapsed="false">
      <c r="A331" s="17"/>
      <c r="B331" s="14"/>
      <c r="C331" s="14"/>
      <c r="D331" s="13"/>
      <c r="E331" s="14"/>
      <c r="F331" s="14"/>
      <c r="G331" s="14"/>
    </row>
    <row r="332" customFormat="false" ht="15" hidden="false" customHeight="false" outlineLevel="0" collapsed="false">
      <c r="A332" s="17"/>
      <c r="B332" s="14"/>
      <c r="C332" s="14"/>
      <c r="D332" s="13"/>
      <c r="E332" s="14"/>
      <c r="F332" s="14"/>
      <c r="G332" s="14"/>
    </row>
    <row r="333" customFormat="false" ht="15" hidden="false" customHeight="false" outlineLevel="0" collapsed="false">
      <c r="A333" s="17"/>
      <c r="B333" s="14"/>
      <c r="C333" s="14"/>
      <c r="D333" s="13"/>
      <c r="E333" s="14"/>
      <c r="F333" s="14"/>
      <c r="G333" s="14"/>
    </row>
    <row r="334" customFormat="false" ht="15" hidden="false" customHeight="false" outlineLevel="0" collapsed="false">
      <c r="A334" s="17"/>
      <c r="B334" s="14"/>
      <c r="C334" s="14"/>
      <c r="D334" s="13"/>
      <c r="E334" s="14"/>
      <c r="F334" s="14"/>
      <c r="G334" s="14"/>
    </row>
    <row r="335" customFormat="false" ht="15" hidden="false" customHeight="false" outlineLevel="0" collapsed="false">
      <c r="A335" s="17"/>
      <c r="B335" s="14"/>
      <c r="C335" s="14"/>
      <c r="D335" s="13"/>
      <c r="E335" s="14"/>
      <c r="F335" s="14"/>
      <c r="G335" s="14"/>
    </row>
    <row r="336" customFormat="false" ht="15" hidden="false" customHeight="false" outlineLevel="0" collapsed="false">
      <c r="A336" s="17"/>
      <c r="B336" s="14"/>
      <c r="C336" s="14"/>
      <c r="D336" s="13"/>
      <c r="E336" s="14"/>
      <c r="F336" s="14"/>
      <c r="G336" s="14"/>
    </row>
    <row r="337" customFormat="false" ht="15" hidden="false" customHeight="false" outlineLevel="0" collapsed="false">
      <c r="A337" s="17"/>
      <c r="B337" s="14"/>
      <c r="C337" s="14"/>
      <c r="D337" s="13"/>
      <c r="E337" s="14"/>
      <c r="F337" s="14"/>
      <c r="G337" s="14"/>
    </row>
    <row r="338" customFormat="false" ht="15" hidden="false" customHeight="false" outlineLevel="0" collapsed="false">
      <c r="A338" s="17"/>
      <c r="B338" s="14"/>
      <c r="C338" s="14"/>
      <c r="D338" s="13"/>
      <c r="E338" s="14"/>
      <c r="F338" s="14"/>
      <c r="G338" s="14"/>
    </row>
    <row r="339" customFormat="false" ht="15" hidden="false" customHeight="false" outlineLevel="0" collapsed="false">
      <c r="A339" s="17"/>
      <c r="B339" s="14"/>
      <c r="C339" s="14"/>
      <c r="D339" s="13"/>
      <c r="E339" s="14"/>
      <c r="F339" s="14"/>
      <c r="G339" s="14"/>
    </row>
    <row r="340" customFormat="false" ht="15" hidden="false" customHeight="false" outlineLevel="0" collapsed="false">
      <c r="A340" s="17"/>
      <c r="B340" s="14"/>
      <c r="C340" s="14"/>
      <c r="D340" s="13"/>
      <c r="E340" s="14"/>
      <c r="F340" s="14"/>
      <c r="G340" s="14"/>
    </row>
    <row r="341" customFormat="false" ht="15" hidden="false" customHeight="false" outlineLevel="0" collapsed="false">
      <c r="A341" s="17"/>
      <c r="B341" s="14"/>
      <c r="C341" s="14"/>
      <c r="D341" s="13"/>
      <c r="E341" s="14"/>
      <c r="F341" s="14"/>
      <c r="G341" s="14"/>
    </row>
    <row r="342" customFormat="false" ht="15" hidden="false" customHeight="false" outlineLevel="0" collapsed="false">
      <c r="A342" s="17"/>
      <c r="B342" s="14"/>
      <c r="C342" s="14"/>
      <c r="D342" s="13"/>
      <c r="E342" s="14"/>
      <c r="F342" s="14"/>
      <c r="G342" s="14"/>
    </row>
    <row r="343" customFormat="false" ht="15" hidden="false" customHeight="false" outlineLevel="0" collapsed="false">
      <c r="A343" s="17"/>
      <c r="B343" s="14"/>
      <c r="C343" s="14"/>
      <c r="D343" s="13"/>
      <c r="E343" s="14"/>
      <c r="F343" s="14"/>
      <c r="G343" s="14"/>
    </row>
    <row r="344" customFormat="false" ht="15" hidden="false" customHeight="false" outlineLevel="0" collapsed="false">
      <c r="A344" s="17"/>
      <c r="B344" s="14"/>
      <c r="C344" s="14"/>
      <c r="D344" s="13"/>
      <c r="E344" s="14"/>
      <c r="F344" s="14"/>
      <c r="G344" s="14"/>
    </row>
    <row r="345" customFormat="false" ht="15" hidden="false" customHeight="false" outlineLevel="0" collapsed="false">
      <c r="A345" s="17"/>
      <c r="B345" s="14"/>
      <c r="C345" s="14"/>
      <c r="D345" s="13"/>
      <c r="E345" s="14"/>
      <c r="F345" s="14"/>
      <c r="G345" s="14"/>
    </row>
    <row r="346" customFormat="false" ht="15" hidden="false" customHeight="false" outlineLevel="0" collapsed="false">
      <c r="A346" s="17"/>
      <c r="B346" s="14"/>
      <c r="C346" s="14"/>
      <c r="D346" s="13"/>
      <c r="E346" s="14"/>
      <c r="F346" s="14"/>
      <c r="G346" s="14"/>
    </row>
    <row r="347" customFormat="false" ht="15" hidden="false" customHeight="false" outlineLevel="0" collapsed="false">
      <c r="A347" s="17"/>
      <c r="B347" s="14"/>
      <c r="C347" s="14"/>
      <c r="D347" s="13"/>
      <c r="E347" s="14"/>
      <c r="F347" s="14"/>
      <c r="G347" s="14"/>
    </row>
    <row r="348" customFormat="false" ht="15" hidden="false" customHeight="false" outlineLevel="0" collapsed="false">
      <c r="A348" s="17"/>
      <c r="B348" s="14"/>
      <c r="C348" s="14"/>
      <c r="D348" s="13"/>
      <c r="E348" s="14"/>
      <c r="F348" s="14"/>
      <c r="G348" s="14"/>
    </row>
    <row r="349" customFormat="false" ht="15" hidden="false" customHeight="false" outlineLevel="0" collapsed="false">
      <c r="A349" s="17"/>
      <c r="B349" s="14"/>
      <c r="C349" s="14"/>
      <c r="D349" s="13"/>
      <c r="E349" s="14"/>
      <c r="F349" s="14"/>
      <c r="G349" s="14"/>
    </row>
    <row r="350" customFormat="false" ht="15" hidden="false" customHeight="false" outlineLevel="0" collapsed="false">
      <c r="A350" s="17"/>
      <c r="B350" s="14"/>
      <c r="C350" s="14"/>
      <c r="D350" s="13"/>
      <c r="E350" s="14"/>
      <c r="F350" s="14"/>
      <c r="G350" s="14"/>
    </row>
    <row r="351" customFormat="false" ht="15" hidden="false" customHeight="false" outlineLevel="0" collapsed="false">
      <c r="A351" s="17"/>
      <c r="B351" s="14"/>
      <c r="C351" s="14"/>
      <c r="D351" s="13"/>
      <c r="E351" s="14"/>
      <c r="F351" s="14"/>
      <c r="G351" s="14"/>
    </row>
    <row r="352" customFormat="false" ht="15" hidden="false" customHeight="false" outlineLevel="0" collapsed="false">
      <c r="A352" s="17"/>
      <c r="B352" s="14"/>
      <c r="C352" s="14"/>
      <c r="D352" s="13"/>
      <c r="E352" s="14"/>
      <c r="F352" s="14"/>
      <c r="G352" s="14"/>
    </row>
    <row r="353" customFormat="false" ht="15" hidden="false" customHeight="false" outlineLevel="0" collapsed="false">
      <c r="A353" s="17"/>
      <c r="B353" s="14"/>
      <c r="C353" s="14"/>
      <c r="D353" s="13"/>
      <c r="E353" s="14"/>
      <c r="F353" s="14"/>
      <c r="G353" s="14"/>
    </row>
    <row r="354" customFormat="false" ht="15" hidden="false" customHeight="false" outlineLevel="0" collapsed="false">
      <c r="A354" s="17"/>
      <c r="B354" s="14"/>
      <c r="C354" s="14"/>
      <c r="D354" s="13"/>
      <c r="E354" s="14"/>
      <c r="F354" s="14"/>
      <c r="G354" s="14"/>
    </row>
    <row r="355" customFormat="false" ht="15" hidden="false" customHeight="false" outlineLevel="0" collapsed="false">
      <c r="A355" s="17"/>
      <c r="B355" s="14"/>
      <c r="C355" s="14"/>
      <c r="D355" s="13"/>
      <c r="E355" s="14"/>
      <c r="F355" s="14"/>
      <c r="G355" s="14"/>
    </row>
    <row r="356" customFormat="false" ht="15" hidden="false" customHeight="false" outlineLevel="0" collapsed="false">
      <c r="A356" s="17"/>
      <c r="B356" s="14"/>
      <c r="C356" s="14"/>
      <c r="D356" s="13"/>
      <c r="E356" s="14"/>
      <c r="F356" s="14"/>
      <c r="G356" s="14"/>
    </row>
    <row r="357" customFormat="false" ht="15" hidden="false" customHeight="false" outlineLevel="0" collapsed="false">
      <c r="A357" s="17"/>
      <c r="B357" s="14"/>
      <c r="C357" s="14"/>
      <c r="D357" s="13"/>
      <c r="E357" s="14"/>
      <c r="F357" s="14"/>
      <c r="G357" s="14"/>
    </row>
    <row r="358" customFormat="false" ht="15" hidden="false" customHeight="false" outlineLevel="0" collapsed="false">
      <c r="A358" s="17"/>
      <c r="B358" s="14"/>
      <c r="C358" s="14"/>
      <c r="D358" s="13"/>
      <c r="E358" s="14"/>
      <c r="F358" s="14"/>
      <c r="G358" s="14"/>
    </row>
    <row r="359" customFormat="false" ht="15" hidden="false" customHeight="false" outlineLevel="0" collapsed="false">
      <c r="A359" s="17"/>
      <c r="B359" s="14"/>
      <c r="C359" s="14"/>
      <c r="D359" s="13"/>
      <c r="E359" s="14"/>
      <c r="F359" s="14"/>
      <c r="G359" s="14"/>
    </row>
    <row r="360" customFormat="false" ht="15" hidden="false" customHeight="false" outlineLevel="0" collapsed="false">
      <c r="A360" s="17"/>
      <c r="B360" s="14"/>
      <c r="C360" s="14"/>
      <c r="D360" s="13"/>
      <c r="E360" s="14"/>
      <c r="F360" s="14"/>
      <c r="G360" s="14"/>
    </row>
    <row r="361" customFormat="false" ht="15" hidden="false" customHeight="false" outlineLevel="0" collapsed="false">
      <c r="A361" s="17"/>
      <c r="B361" s="14"/>
      <c r="C361" s="14"/>
      <c r="D361" s="13"/>
      <c r="E361" s="14"/>
      <c r="F361" s="14"/>
      <c r="G361" s="14"/>
    </row>
    <row r="362" customFormat="false" ht="15" hidden="false" customHeight="false" outlineLevel="0" collapsed="false">
      <c r="A362" s="17"/>
      <c r="B362" s="14"/>
      <c r="C362" s="14"/>
      <c r="D362" s="13"/>
      <c r="E362" s="14"/>
      <c r="F362" s="14"/>
      <c r="G362" s="14"/>
    </row>
    <row r="363" customFormat="false" ht="15" hidden="false" customHeight="false" outlineLevel="0" collapsed="false">
      <c r="A363" s="17"/>
      <c r="B363" s="14"/>
      <c r="C363" s="14"/>
      <c r="D363" s="13"/>
      <c r="E363" s="14"/>
      <c r="F363" s="14"/>
      <c r="G363" s="14"/>
    </row>
    <row r="364" customFormat="false" ht="15" hidden="false" customHeight="false" outlineLevel="0" collapsed="false">
      <c r="A364" s="17"/>
      <c r="B364" s="14"/>
      <c r="C364" s="14"/>
      <c r="D364" s="13"/>
      <c r="E364" s="14"/>
      <c r="F364" s="14"/>
      <c r="G364" s="14"/>
    </row>
    <row r="365" customFormat="false" ht="15" hidden="false" customHeight="false" outlineLevel="0" collapsed="false">
      <c r="A365" s="17"/>
      <c r="B365" s="14"/>
      <c r="C365" s="14"/>
      <c r="D365" s="13"/>
      <c r="E365" s="14"/>
      <c r="F365" s="14"/>
      <c r="G365" s="14"/>
    </row>
    <row r="366" customFormat="false" ht="15" hidden="false" customHeight="false" outlineLevel="0" collapsed="false">
      <c r="A366" s="17"/>
      <c r="B366" s="14"/>
      <c r="C366" s="14"/>
      <c r="D366" s="13"/>
      <c r="E366" s="14"/>
      <c r="F366" s="14"/>
      <c r="G366" s="14"/>
    </row>
    <row r="367" customFormat="false" ht="15" hidden="false" customHeight="false" outlineLevel="0" collapsed="false">
      <c r="A367" s="17"/>
      <c r="B367" s="14"/>
      <c r="C367" s="14"/>
      <c r="D367" s="13"/>
      <c r="E367" s="14"/>
      <c r="F367" s="14"/>
      <c r="G367" s="14"/>
    </row>
    <row r="368" customFormat="false" ht="15" hidden="false" customHeight="false" outlineLevel="0" collapsed="false">
      <c r="A368" s="17"/>
      <c r="B368" s="14"/>
      <c r="C368" s="14"/>
      <c r="D368" s="13"/>
      <c r="E368" s="14"/>
      <c r="F368" s="14"/>
      <c r="G368" s="14"/>
    </row>
    <row r="369" customFormat="false" ht="15" hidden="false" customHeight="false" outlineLevel="0" collapsed="false">
      <c r="A369" s="17"/>
      <c r="B369" s="14"/>
      <c r="C369" s="14"/>
      <c r="D369" s="13"/>
      <c r="E369" s="14"/>
      <c r="F369" s="14"/>
      <c r="G369" s="14"/>
    </row>
    <row r="370" customFormat="false" ht="15" hidden="false" customHeight="false" outlineLevel="0" collapsed="false">
      <c r="A370" s="17"/>
      <c r="B370" s="14"/>
      <c r="C370" s="14"/>
      <c r="D370" s="13"/>
      <c r="E370" s="14"/>
      <c r="F370" s="14"/>
      <c r="G370" s="14"/>
    </row>
    <row r="371" customFormat="false" ht="15" hidden="false" customHeight="false" outlineLevel="0" collapsed="false">
      <c r="A371" s="17"/>
      <c r="B371" s="14"/>
      <c r="C371" s="14"/>
      <c r="D371" s="13"/>
      <c r="E371" s="14"/>
      <c r="F371" s="14"/>
      <c r="G371" s="14"/>
    </row>
    <row r="372" customFormat="false" ht="15" hidden="false" customHeight="false" outlineLevel="0" collapsed="false">
      <c r="A372" s="17"/>
      <c r="B372" s="14"/>
      <c r="C372" s="14"/>
      <c r="D372" s="13"/>
      <c r="E372" s="14"/>
      <c r="F372" s="14"/>
      <c r="G372" s="14"/>
    </row>
    <row r="373" customFormat="false" ht="15" hidden="false" customHeight="false" outlineLevel="0" collapsed="false">
      <c r="A373" s="17"/>
      <c r="B373" s="14"/>
      <c r="C373" s="14"/>
      <c r="D373" s="13"/>
      <c r="E373" s="14"/>
      <c r="F373" s="14"/>
      <c r="G373" s="14"/>
    </row>
    <row r="374" customFormat="false" ht="15" hidden="false" customHeight="false" outlineLevel="0" collapsed="false">
      <c r="A374" s="17"/>
      <c r="B374" s="14"/>
      <c r="C374" s="14"/>
      <c r="D374" s="13"/>
      <c r="E374" s="14"/>
      <c r="F374" s="14"/>
      <c r="G374" s="14"/>
    </row>
    <row r="375" customFormat="false" ht="15" hidden="false" customHeight="false" outlineLevel="0" collapsed="false">
      <c r="A375" s="17"/>
      <c r="B375" s="14"/>
      <c r="C375" s="14"/>
      <c r="D375" s="13"/>
      <c r="E375" s="14"/>
      <c r="F375" s="14"/>
      <c r="G375" s="14"/>
    </row>
    <row r="376" customFormat="false" ht="15" hidden="false" customHeight="false" outlineLevel="0" collapsed="false">
      <c r="A376" s="17"/>
      <c r="B376" s="14"/>
      <c r="C376" s="14"/>
      <c r="D376" s="13"/>
      <c r="E376" s="14"/>
      <c r="F376" s="14"/>
      <c r="G376" s="14"/>
    </row>
    <row r="377" customFormat="false" ht="15" hidden="false" customHeight="false" outlineLevel="0" collapsed="false">
      <c r="A377" s="17"/>
      <c r="B377" s="14"/>
      <c r="C377" s="14"/>
      <c r="D377" s="13"/>
      <c r="E377" s="14"/>
      <c r="F377" s="14"/>
      <c r="G377" s="14"/>
    </row>
    <row r="378" customFormat="false" ht="15" hidden="false" customHeight="false" outlineLevel="0" collapsed="false">
      <c r="A378" s="17"/>
      <c r="B378" s="14"/>
      <c r="C378" s="14"/>
      <c r="D378" s="13"/>
      <c r="E378" s="14"/>
      <c r="F378" s="14"/>
      <c r="G378" s="14"/>
    </row>
    <row r="379" customFormat="false" ht="15" hidden="false" customHeight="false" outlineLevel="0" collapsed="false">
      <c r="A379" s="17"/>
      <c r="B379" s="14"/>
      <c r="C379" s="14"/>
      <c r="D379" s="13"/>
      <c r="E379" s="14"/>
      <c r="F379" s="14"/>
      <c r="G379" s="14"/>
    </row>
    <row r="380" customFormat="false" ht="15" hidden="false" customHeight="false" outlineLevel="0" collapsed="false">
      <c r="A380" s="17"/>
      <c r="B380" s="14"/>
      <c r="C380" s="14"/>
      <c r="D380" s="13"/>
      <c r="E380" s="14"/>
      <c r="F380" s="14"/>
      <c r="G380" s="14"/>
    </row>
    <row r="381" customFormat="false" ht="15" hidden="false" customHeight="false" outlineLevel="0" collapsed="false">
      <c r="A381" s="17"/>
      <c r="B381" s="14"/>
      <c r="C381" s="14"/>
      <c r="D381" s="13"/>
      <c r="E381" s="14"/>
      <c r="F381" s="14"/>
      <c r="G381" s="14"/>
    </row>
    <row r="382" customFormat="false" ht="15" hidden="false" customHeight="false" outlineLevel="0" collapsed="false">
      <c r="A382" s="17"/>
      <c r="B382" s="14"/>
      <c r="C382" s="14"/>
      <c r="D382" s="13"/>
      <c r="E382" s="14"/>
      <c r="F382" s="14"/>
      <c r="G382" s="14"/>
    </row>
    <row r="383" customFormat="false" ht="15" hidden="false" customHeight="false" outlineLevel="0" collapsed="false">
      <c r="A383" s="17"/>
      <c r="B383" s="14"/>
      <c r="C383" s="14"/>
      <c r="D383" s="13"/>
      <c r="E383" s="14"/>
      <c r="F383" s="14"/>
      <c r="G383" s="14"/>
    </row>
    <row r="384" customFormat="false" ht="15" hidden="false" customHeight="false" outlineLevel="0" collapsed="false">
      <c r="A384" s="17"/>
      <c r="B384" s="14"/>
      <c r="C384" s="14"/>
      <c r="D384" s="13"/>
      <c r="E384" s="14"/>
      <c r="F384" s="14"/>
      <c r="G384" s="14"/>
    </row>
    <row r="385" customFormat="false" ht="15" hidden="false" customHeight="false" outlineLevel="0" collapsed="false">
      <c r="A385" s="17"/>
      <c r="B385" s="14"/>
      <c r="C385" s="14"/>
      <c r="D385" s="13"/>
      <c r="E385" s="14"/>
      <c r="F385" s="14"/>
      <c r="G385" s="14"/>
    </row>
    <row r="386" customFormat="false" ht="15" hidden="false" customHeight="false" outlineLevel="0" collapsed="false">
      <c r="A386" s="17"/>
      <c r="B386" s="14"/>
      <c r="C386" s="14"/>
      <c r="D386" s="13"/>
      <c r="E386" s="14"/>
      <c r="F386" s="14"/>
      <c r="G386" s="14"/>
    </row>
    <row r="387" customFormat="false" ht="15" hidden="false" customHeight="false" outlineLevel="0" collapsed="false">
      <c r="A387" s="17"/>
      <c r="B387" s="14"/>
      <c r="C387" s="14"/>
      <c r="D387" s="13"/>
      <c r="E387" s="14"/>
      <c r="F387" s="14"/>
      <c r="G387" s="14"/>
    </row>
    <row r="388" customFormat="false" ht="15" hidden="false" customHeight="false" outlineLevel="0" collapsed="false">
      <c r="A388" s="17"/>
      <c r="B388" s="14"/>
      <c r="C388" s="14"/>
      <c r="D388" s="13"/>
      <c r="E388" s="14"/>
      <c r="F388" s="14"/>
      <c r="G388" s="14"/>
    </row>
    <row r="389" customFormat="false" ht="15" hidden="false" customHeight="false" outlineLevel="0" collapsed="false">
      <c r="A389" s="17"/>
      <c r="B389" s="14"/>
      <c r="C389" s="14"/>
      <c r="D389" s="13"/>
      <c r="E389" s="14"/>
      <c r="F389" s="14"/>
      <c r="G389" s="14"/>
    </row>
    <row r="390" customFormat="false" ht="15" hidden="false" customHeight="false" outlineLevel="0" collapsed="false">
      <c r="A390" s="17"/>
      <c r="B390" s="14"/>
      <c r="C390" s="14"/>
      <c r="D390" s="13"/>
      <c r="E390" s="14"/>
      <c r="F390" s="14"/>
      <c r="G390" s="14"/>
    </row>
    <row r="391" customFormat="false" ht="15" hidden="false" customHeight="false" outlineLevel="0" collapsed="false">
      <c r="A391" s="17"/>
      <c r="B391" s="14"/>
      <c r="C391" s="14"/>
      <c r="D391" s="13"/>
      <c r="E391" s="14"/>
      <c r="F391" s="14"/>
      <c r="G391" s="14"/>
    </row>
    <row r="392" customFormat="false" ht="15" hidden="false" customHeight="false" outlineLevel="0" collapsed="false">
      <c r="A392" s="17"/>
      <c r="B392" s="14"/>
      <c r="C392" s="14"/>
      <c r="D392" s="13"/>
      <c r="E392" s="14"/>
      <c r="F392" s="14"/>
      <c r="G392" s="14"/>
    </row>
    <row r="393" customFormat="false" ht="15" hidden="false" customHeight="false" outlineLevel="0" collapsed="false">
      <c r="A393" s="17"/>
      <c r="B393" s="14"/>
      <c r="C393" s="14"/>
      <c r="D393" s="13"/>
      <c r="E393" s="14"/>
      <c r="F393" s="14"/>
      <c r="G393" s="14"/>
    </row>
    <row r="394" customFormat="false" ht="15" hidden="false" customHeight="false" outlineLevel="0" collapsed="false">
      <c r="A394" s="17"/>
      <c r="B394" s="14"/>
      <c r="C394" s="14"/>
      <c r="D394" s="13"/>
      <c r="E394" s="14"/>
      <c r="F394" s="14"/>
      <c r="G394" s="14"/>
    </row>
    <row r="395" customFormat="false" ht="15" hidden="false" customHeight="false" outlineLevel="0" collapsed="false">
      <c r="A395" s="17"/>
      <c r="B395" s="14"/>
      <c r="C395" s="14"/>
      <c r="D395" s="13"/>
      <c r="E395" s="14"/>
      <c r="F395" s="14"/>
      <c r="G395" s="14"/>
    </row>
    <row r="396" customFormat="false" ht="15" hidden="false" customHeight="false" outlineLevel="0" collapsed="false">
      <c r="A396" s="17"/>
      <c r="B396" s="14"/>
      <c r="C396" s="14"/>
      <c r="D396" s="13"/>
      <c r="E396" s="14"/>
      <c r="F396" s="14"/>
      <c r="G396" s="14"/>
    </row>
    <row r="397" customFormat="false" ht="15" hidden="false" customHeight="false" outlineLevel="0" collapsed="false">
      <c r="A397" s="17"/>
      <c r="B397" s="14"/>
      <c r="C397" s="14"/>
      <c r="D397" s="13"/>
      <c r="E397" s="14"/>
      <c r="F397" s="14"/>
      <c r="G397" s="14"/>
    </row>
    <row r="398" customFormat="false" ht="15" hidden="false" customHeight="false" outlineLevel="0" collapsed="false">
      <c r="A398" s="17"/>
      <c r="B398" s="14"/>
      <c r="C398" s="14"/>
      <c r="D398" s="13"/>
      <c r="E398" s="14"/>
      <c r="F398" s="14"/>
      <c r="G398" s="14"/>
    </row>
    <row r="399" customFormat="false" ht="15" hidden="false" customHeight="false" outlineLevel="0" collapsed="false">
      <c r="A399" s="17"/>
      <c r="B399" s="14"/>
      <c r="C399" s="14"/>
      <c r="D399" s="13"/>
      <c r="E399" s="14"/>
      <c r="F399" s="14"/>
      <c r="G399" s="14"/>
    </row>
    <row r="400" customFormat="false" ht="15" hidden="false" customHeight="false" outlineLevel="0" collapsed="false">
      <c r="A400" s="17"/>
      <c r="B400" s="14"/>
      <c r="C400" s="14"/>
      <c r="D400" s="13"/>
      <c r="E400" s="14"/>
      <c r="F400" s="14"/>
      <c r="G400" s="14"/>
    </row>
  </sheetData>
  <dataValidations count="1">
    <dataValidation allowBlank="true" errorStyle="stop" operator="between" showDropDown="false" showErrorMessage="false" showInputMessage="false" sqref="C5:C400" type="list">
      <formula1>"Deposit,Balance,Full payment,Retainer,Extra revision,Other"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1.5" hidden="false" customHeight="true" outlineLevel="0" collapsed="false">
      <c r="A4" s="11" t="s">
        <v>82</v>
      </c>
      <c r="B4" s="11" t="s">
        <v>124</v>
      </c>
      <c r="C4" s="11" t="s">
        <v>125</v>
      </c>
      <c r="D4" s="11" t="s">
        <v>126</v>
      </c>
      <c r="E4" s="11" t="s">
        <v>127</v>
      </c>
      <c r="F4" s="11" t="s">
        <v>128</v>
      </c>
      <c r="G4" s="11" t="s">
        <v>129</v>
      </c>
      <c r="H4" s="11" t="s">
        <v>130</v>
      </c>
      <c r="I4" s="11" t="s">
        <v>96</v>
      </c>
    </row>
    <row r="5" customFormat="false" ht="23.85" hidden="false" customHeight="false" outlineLevel="0" collapsed="false">
      <c r="A5" s="14" t="s">
        <v>131</v>
      </c>
      <c r="B5" s="14" t="s">
        <v>132</v>
      </c>
      <c r="C5" s="14" t="s">
        <v>133</v>
      </c>
      <c r="D5" s="14" t="s">
        <v>134</v>
      </c>
      <c r="E5" s="14" t="s">
        <v>101</v>
      </c>
      <c r="F5" s="14" t="s">
        <v>135</v>
      </c>
      <c r="G5" s="17" t="n">
        <v>46338</v>
      </c>
      <c r="H5" s="19" t="n">
        <f aca="false">IF(G5="","",EDATE(G5,24))</f>
        <v>47069</v>
      </c>
      <c r="I5" s="14" t="s">
        <v>136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7"/>
      <c r="H6" s="19" t="str">
        <f aca="false">IF(G6="","",EDATE(G6,24))</f>
        <v/>
      </c>
      <c r="I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7"/>
      <c r="H7" s="19" t="str">
        <f aca="false">IF(G7="","",EDATE(G7,24))</f>
        <v/>
      </c>
      <c r="I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7"/>
      <c r="H8" s="19" t="str">
        <f aca="false">IF(G8="","",EDATE(G8,24))</f>
        <v/>
      </c>
      <c r="I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7"/>
      <c r="H9" s="19" t="str">
        <f aca="false">IF(G9="","",EDATE(G9,24))</f>
        <v/>
      </c>
      <c r="I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7"/>
      <c r="H10" s="19" t="str">
        <f aca="false">IF(G10="","",EDATE(G10,24))</f>
        <v/>
      </c>
      <c r="I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7"/>
      <c r="H11" s="19" t="str">
        <f aca="false">IF(G11="","",EDATE(G11,24))</f>
        <v/>
      </c>
      <c r="I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7"/>
      <c r="H12" s="19" t="str">
        <f aca="false">IF(G12="","",EDATE(G12,24))</f>
        <v/>
      </c>
      <c r="I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7"/>
      <c r="H13" s="19" t="str">
        <f aca="false">IF(G13="","",EDATE(G13,24))</f>
        <v/>
      </c>
      <c r="I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7"/>
      <c r="H14" s="19" t="str">
        <f aca="false">IF(G14="","",EDATE(G14,24))</f>
        <v/>
      </c>
      <c r="I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7"/>
      <c r="H15" s="19" t="str">
        <f aca="false">IF(G15="","",EDATE(G15,24))</f>
        <v/>
      </c>
      <c r="I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7"/>
      <c r="H16" s="19" t="str">
        <f aca="false">IF(G16="","",EDATE(G16,24))</f>
        <v/>
      </c>
      <c r="I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7"/>
      <c r="H17" s="19" t="str">
        <f aca="false">IF(G17="","",EDATE(G17,24))</f>
        <v/>
      </c>
      <c r="I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7"/>
      <c r="H18" s="19" t="str">
        <f aca="false">IF(G18="","",EDATE(G18,24))</f>
        <v/>
      </c>
      <c r="I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7"/>
      <c r="H19" s="19" t="str">
        <f aca="false">IF(G19="","",EDATE(G19,24))</f>
        <v/>
      </c>
      <c r="I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7"/>
      <c r="H20" s="19" t="str">
        <f aca="false">IF(G20="","",EDATE(G20,24))</f>
        <v/>
      </c>
      <c r="I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7"/>
      <c r="H21" s="19" t="str">
        <f aca="false">IF(G21="","",EDATE(G21,24))</f>
        <v/>
      </c>
      <c r="I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7"/>
      <c r="H22" s="19" t="str">
        <f aca="false">IF(G22="","",EDATE(G22,24))</f>
        <v/>
      </c>
      <c r="I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7"/>
      <c r="H23" s="19" t="str">
        <f aca="false">IF(G23="","",EDATE(G23,24))</f>
        <v/>
      </c>
      <c r="I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7"/>
      <c r="H24" s="19" t="str">
        <f aca="false">IF(G24="","",EDATE(G24,24))</f>
        <v/>
      </c>
      <c r="I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7"/>
      <c r="H25" s="19" t="str">
        <f aca="false">IF(G25="","",EDATE(G25,24))</f>
        <v/>
      </c>
      <c r="I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7"/>
      <c r="H26" s="19" t="str">
        <f aca="false">IF(G26="","",EDATE(G26,24))</f>
        <v/>
      </c>
      <c r="I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7"/>
      <c r="H27" s="19" t="str">
        <f aca="false">IF(G27="","",EDATE(G27,24))</f>
        <v/>
      </c>
      <c r="I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7"/>
      <c r="H28" s="19" t="str">
        <f aca="false">IF(G28="","",EDATE(G28,24))</f>
        <v/>
      </c>
      <c r="I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7"/>
      <c r="H29" s="19" t="str">
        <f aca="false">IF(G29="","",EDATE(G29,24))</f>
        <v/>
      </c>
      <c r="I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7"/>
      <c r="H30" s="19" t="str">
        <f aca="false">IF(G30="","",EDATE(G30,24))</f>
        <v/>
      </c>
      <c r="I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7"/>
      <c r="H31" s="19" t="str">
        <f aca="false">IF(G31="","",EDATE(G31,24))</f>
        <v/>
      </c>
      <c r="I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7"/>
      <c r="H32" s="19" t="str">
        <f aca="false">IF(G32="","",EDATE(G32,24))</f>
        <v/>
      </c>
      <c r="I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7"/>
      <c r="H33" s="19" t="str">
        <f aca="false">IF(G33="","",EDATE(G33,24))</f>
        <v/>
      </c>
      <c r="I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7"/>
      <c r="H34" s="19" t="str">
        <f aca="false">IF(G34="","",EDATE(G34,24))</f>
        <v/>
      </c>
      <c r="I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7"/>
      <c r="H35" s="19" t="str">
        <f aca="false">IF(G35="","",EDATE(G35,24))</f>
        <v/>
      </c>
      <c r="I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7"/>
      <c r="H36" s="19" t="str">
        <f aca="false">IF(G36="","",EDATE(G36,24))</f>
        <v/>
      </c>
      <c r="I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7"/>
      <c r="H37" s="19" t="str">
        <f aca="false">IF(G37="","",EDATE(G37,24))</f>
        <v/>
      </c>
      <c r="I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7"/>
      <c r="H38" s="19" t="str">
        <f aca="false">IF(G38="","",EDATE(G38,24))</f>
        <v/>
      </c>
      <c r="I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7"/>
      <c r="H39" s="19" t="str">
        <f aca="false">IF(G39="","",EDATE(G39,24))</f>
        <v/>
      </c>
      <c r="I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7"/>
      <c r="H40" s="19" t="str">
        <f aca="false">IF(G40="","",EDATE(G40,24))</f>
        <v/>
      </c>
      <c r="I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7"/>
      <c r="H41" s="19" t="str">
        <f aca="false">IF(G41="","",EDATE(G41,24))</f>
        <v/>
      </c>
      <c r="I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7"/>
      <c r="H42" s="19" t="str">
        <f aca="false">IF(G42="","",EDATE(G42,24))</f>
        <v/>
      </c>
      <c r="I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7"/>
      <c r="H43" s="19" t="str">
        <f aca="false">IF(G43="","",EDATE(G43,24))</f>
        <v/>
      </c>
      <c r="I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7"/>
      <c r="H44" s="19" t="str">
        <f aca="false">IF(G44="","",EDATE(G44,24))</f>
        <v/>
      </c>
      <c r="I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7"/>
      <c r="H45" s="19" t="str">
        <f aca="false">IF(G45="","",EDATE(G45,24))</f>
        <v/>
      </c>
      <c r="I45" s="14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7"/>
      <c r="H46" s="19" t="str">
        <f aca="false">IF(G46="","",EDATE(G46,24))</f>
        <v/>
      </c>
      <c r="I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7"/>
      <c r="H47" s="19" t="str">
        <f aca="false">IF(G47="","",EDATE(G47,24))</f>
        <v/>
      </c>
      <c r="I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7"/>
      <c r="H48" s="19" t="str">
        <f aca="false">IF(G48="","",EDATE(G48,24))</f>
        <v/>
      </c>
      <c r="I48" s="14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7"/>
      <c r="H49" s="19" t="str">
        <f aca="false">IF(G49="","",EDATE(G49,24))</f>
        <v/>
      </c>
      <c r="I49" s="14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7"/>
      <c r="H50" s="19" t="str">
        <f aca="false">IF(G50="","",EDATE(G50,24))</f>
        <v/>
      </c>
      <c r="I50" s="14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7"/>
      <c r="H51" s="19" t="str">
        <f aca="false">IF(G51="","",EDATE(G51,24))</f>
        <v/>
      </c>
      <c r="I51" s="14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7"/>
      <c r="H52" s="19" t="str">
        <f aca="false">IF(G52="","",EDATE(G52,24))</f>
        <v/>
      </c>
      <c r="I52" s="14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7"/>
      <c r="H53" s="19" t="str">
        <f aca="false">IF(G53="","",EDATE(G53,24))</f>
        <v/>
      </c>
      <c r="I53" s="14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7"/>
      <c r="H54" s="19" t="str">
        <f aca="false">IF(G54="","",EDATE(G54,24))</f>
        <v/>
      </c>
      <c r="I54" s="14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7"/>
      <c r="H55" s="19" t="str">
        <f aca="false">IF(G55="","",EDATE(G55,24))</f>
        <v/>
      </c>
      <c r="I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7"/>
      <c r="H56" s="19" t="str">
        <f aca="false">IF(G56="","",EDATE(G56,24))</f>
        <v/>
      </c>
      <c r="I56" s="14"/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  <c r="G57" s="17"/>
      <c r="H57" s="19" t="str">
        <f aca="false">IF(G57="","",EDATE(G57,24))</f>
        <v/>
      </c>
      <c r="I57" s="14"/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4"/>
      <c r="G58" s="17"/>
      <c r="H58" s="19" t="str">
        <f aca="false">IF(G58="","",EDATE(G58,24))</f>
        <v/>
      </c>
      <c r="I58" s="14"/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  <c r="G59" s="17"/>
      <c r="H59" s="19" t="str">
        <f aca="false">IF(G59="","",EDATE(G59,24))</f>
        <v/>
      </c>
      <c r="I59" s="14"/>
    </row>
    <row r="60" customFormat="false" ht="15" hidden="false" customHeight="false" outlineLevel="0" collapsed="false">
      <c r="A60" s="14"/>
      <c r="B60" s="14"/>
      <c r="C60" s="14"/>
      <c r="D60" s="14"/>
      <c r="E60" s="14"/>
      <c r="F60" s="14"/>
      <c r="G60" s="17"/>
      <c r="H60" s="19" t="str">
        <f aca="false">IF(G60="","",EDATE(G60,24))</f>
        <v/>
      </c>
      <c r="I60" s="14"/>
    </row>
    <row r="61" customFormat="false" ht="15" hidden="false" customHeight="false" outlineLevel="0" collapsed="false">
      <c r="A61" s="14"/>
      <c r="B61" s="14"/>
      <c r="C61" s="14"/>
      <c r="D61" s="14"/>
      <c r="E61" s="14"/>
      <c r="F61" s="14"/>
      <c r="G61" s="17"/>
      <c r="H61" s="19" t="str">
        <f aca="false">IF(G61="","",EDATE(G61,24))</f>
        <v/>
      </c>
      <c r="I61" s="14"/>
    </row>
    <row r="62" customFormat="false" ht="15" hidden="false" customHeight="false" outlineLevel="0" collapsed="false">
      <c r="A62" s="14"/>
      <c r="B62" s="14"/>
      <c r="C62" s="14"/>
      <c r="D62" s="14"/>
      <c r="E62" s="14"/>
      <c r="F62" s="14"/>
      <c r="G62" s="17"/>
      <c r="H62" s="19" t="str">
        <f aca="false">IF(G62="","",EDATE(G62,24))</f>
        <v/>
      </c>
      <c r="I62" s="14"/>
    </row>
    <row r="63" customFormat="false" ht="15" hidden="false" customHeight="false" outlineLevel="0" collapsed="false">
      <c r="A63" s="14"/>
      <c r="B63" s="14"/>
      <c r="C63" s="14"/>
      <c r="D63" s="14"/>
      <c r="E63" s="14"/>
      <c r="F63" s="14"/>
      <c r="G63" s="17"/>
      <c r="H63" s="19" t="str">
        <f aca="false">IF(G63="","",EDATE(G63,24))</f>
        <v/>
      </c>
      <c r="I63" s="14"/>
    </row>
    <row r="64" customFormat="false" ht="15" hidden="false" customHeight="false" outlineLevel="0" collapsed="false">
      <c r="A64" s="14"/>
      <c r="B64" s="14"/>
      <c r="C64" s="14"/>
      <c r="D64" s="14"/>
      <c r="E64" s="14"/>
      <c r="F64" s="14"/>
      <c r="G64" s="17"/>
      <c r="H64" s="19" t="str">
        <f aca="false">IF(G64="","",EDATE(G64,24))</f>
        <v/>
      </c>
      <c r="I64" s="14"/>
    </row>
    <row r="65" customFormat="false" ht="15" hidden="false" customHeight="false" outlineLevel="0" collapsed="false">
      <c r="A65" s="14"/>
      <c r="B65" s="14"/>
      <c r="C65" s="14"/>
      <c r="D65" s="14"/>
      <c r="E65" s="14"/>
      <c r="F65" s="14"/>
      <c r="G65" s="17"/>
      <c r="H65" s="19" t="str">
        <f aca="false">IF(G65="","",EDATE(G65,24))</f>
        <v/>
      </c>
      <c r="I65" s="14"/>
    </row>
    <row r="66" customFormat="false" ht="15" hidden="false" customHeight="false" outlineLevel="0" collapsed="false">
      <c r="A66" s="14"/>
      <c r="B66" s="14"/>
      <c r="C66" s="14"/>
      <c r="D66" s="14"/>
      <c r="E66" s="14"/>
      <c r="F66" s="14"/>
      <c r="G66" s="17"/>
      <c r="H66" s="19" t="str">
        <f aca="false">IF(G66="","",EDATE(G66,24))</f>
        <v/>
      </c>
      <c r="I66" s="14"/>
    </row>
    <row r="67" customFormat="false" ht="15" hidden="false" customHeight="false" outlineLevel="0" collapsed="false">
      <c r="A67" s="14"/>
      <c r="B67" s="14"/>
      <c r="C67" s="14"/>
      <c r="D67" s="14"/>
      <c r="E67" s="14"/>
      <c r="F67" s="14"/>
      <c r="G67" s="17"/>
      <c r="H67" s="19" t="str">
        <f aca="false">IF(G67="","",EDATE(G67,24))</f>
        <v/>
      </c>
      <c r="I67" s="14"/>
    </row>
    <row r="68" customFormat="false" ht="15" hidden="false" customHeight="false" outlineLevel="0" collapsed="false">
      <c r="A68" s="14"/>
      <c r="B68" s="14"/>
      <c r="C68" s="14"/>
      <c r="D68" s="14"/>
      <c r="E68" s="14"/>
      <c r="F68" s="14"/>
      <c r="G68" s="17"/>
      <c r="H68" s="19" t="str">
        <f aca="false">IF(G68="","",EDATE(G68,24))</f>
        <v/>
      </c>
      <c r="I68" s="14"/>
    </row>
    <row r="69" customFormat="false" ht="15" hidden="false" customHeight="false" outlineLevel="0" collapsed="false">
      <c r="A69" s="14"/>
      <c r="B69" s="14"/>
      <c r="C69" s="14"/>
      <c r="D69" s="14"/>
      <c r="E69" s="14"/>
      <c r="F69" s="14"/>
      <c r="G69" s="17"/>
      <c r="H69" s="19" t="str">
        <f aca="false">IF(G69="","",EDATE(G69,24))</f>
        <v/>
      </c>
      <c r="I69" s="14"/>
    </row>
    <row r="70" customFormat="false" ht="15" hidden="false" customHeight="false" outlineLevel="0" collapsed="false">
      <c r="A70" s="14"/>
      <c r="B70" s="14"/>
      <c r="C70" s="14"/>
      <c r="D70" s="14"/>
      <c r="E70" s="14"/>
      <c r="F70" s="14"/>
      <c r="G70" s="17"/>
      <c r="H70" s="19" t="str">
        <f aca="false">IF(G70="","",EDATE(G70,24))</f>
        <v/>
      </c>
      <c r="I70" s="14"/>
    </row>
    <row r="71" customFormat="false" ht="15" hidden="false" customHeight="false" outlineLevel="0" collapsed="false">
      <c r="A71" s="14"/>
      <c r="B71" s="14"/>
      <c r="C71" s="14"/>
      <c r="D71" s="14"/>
      <c r="E71" s="14"/>
      <c r="F71" s="14"/>
      <c r="G71" s="17"/>
      <c r="H71" s="19" t="str">
        <f aca="false">IF(G71="","",EDATE(G71,24))</f>
        <v/>
      </c>
      <c r="I71" s="14"/>
    </row>
    <row r="72" customFormat="false" ht="15" hidden="false" customHeight="false" outlineLevel="0" collapsed="false">
      <c r="A72" s="14"/>
      <c r="B72" s="14"/>
      <c r="C72" s="14"/>
      <c r="D72" s="14"/>
      <c r="E72" s="14"/>
      <c r="F72" s="14"/>
      <c r="G72" s="17"/>
      <c r="H72" s="19" t="str">
        <f aca="false">IF(G72="","",EDATE(G72,24))</f>
        <v/>
      </c>
      <c r="I72" s="14"/>
    </row>
    <row r="73" customFormat="false" ht="15" hidden="false" customHeight="false" outlineLevel="0" collapsed="false">
      <c r="A73" s="14"/>
      <c r="B73" s="14"/>
      <c r="C73" s="14"/>
      <c r="D73" s="14"/>
      <c r="E73" s="14"/>
      <c r="F73" s="14"/>
      <c r="G73" s="17"/>
      <c r="H73" s="19" t="str">
        <f aca="false">IF(G73="","",EDATE(G73,24))</f>
        <v/>
      </c>
      <c r="I73" s="14"/>
    </row>
    <row r="74" customFormat="false" ht="15" hidden="false" customHeight="false" outlineLevel="0" collapsed="false">
      <c r="A74" s="14"/>
      <c r="B74" s="14"/>
      <c r="C74" s="14"/>
      <c r="D74" s="14"/>
      <c r="E74" s="14"/>
      <c r="F74" s="14"/>
      <c r="G74" s="17"/>
      <c r="H74" s="19" t="str">
        <f aca="false">IF(G74="","",EDATE(G74,24))</f>
        <v/>
      </c>
      <c r="I74" s="14"/>
    </row>
    <row r="75" customFormat="false" ht="15" hidden="false" customHeight="false" outlineLevel="0" collapsed="false">
      <c r="A75" s="14"/>
      <c r="B75" s="14"/>
      <c r="C75" s="14"/>
      <c r="D75" s="14"/>
      <c r="E75" s="14"/>
      <c r="F75" s="14"/>
      <c r="G75" s="17"/>
      <c r="H75" s="19" t="str">
        <f aca="false">IF(G75="","",EDATE(G75,24))</f>
        <v/>
      </c>
      <c r="I75" s="14"/>
    </row>
    <row r="76" customFormat="false" ht="15" hidden="false" customHeight="false" outlineLevel="0" collapsed="false">
      <c r="A76" s="14"/>
      <c r="B76" s="14"/>
      <c r="C76" s="14"/>
      <c r="D76" s="14"/>
      <c r="E76" s="14"/>
      <c r="F76" s="14"/>
      <c r="G76" s="17"/>
      <c r="H76" s="19" t="str">
        <f aca="false">IF(G76="","",EDATE(G76,24))</f>
        <v/>
      </c>
      <c r="I76" s="14"/>
    </row>
    <row r="77" customFormat="false" ht="15" hidden="false" customHeight="false" outlineLevel="0" collapsed="false">
      <c r="A77" s="14"/>
      <c r="B77" s="14"/>
      <c r="C77" s="14"/>
      <c r="D77" s="14"/>
      <c r="E77" s="14"/>
      <c r="F77" s="14"/>
      <c r="G77" s="17"/>
      <c r="H77" s="19" t="str">
        <f aca="false">IF(G77="","",EDATE(G77,24))</f>
        <v/>
      </c>
      <c r="I77" s="14"/>
    </row>
    <row r="78" customFormat="false" ht="15" hidden="false" customHeight="false" outlineLevel="0" collapsed="false">
      <c r="A78" s="14"/>
      <c r="B78" s="14"/>
      <c r="C78" s="14"/>
      <c r="D78" s="14"/>
      <c r="E78" s="14"/>
      <c r="F78" s="14"/>
      <c r="G78" s="17"/>
      <c r="H78" s="19" t="str">
        <f aca="false">IF(G78="","",EDATE(G78,24))</f>
        <v/>
      </c>
      <c r="I78" s="14"/>
    </row>
    <row r="79" customFormat="false" ht="15" hidden="false" customHeight="false" outlineLevel="0" collapsed="false">
      <c r="A79" s="14"/>
      <c r="B79" s="14"/>
      <c r="C79" s="14"/>
      <c r="D79" s="14"/>
      <c r="E79" s="14"/>
      <c r="F79" s="14"/>
      <c r="G79" s="17"/>
      <c r="H79" s="19" t="str">
        <f aca="false">IF(G79="","",EDATE(G79,24))</f>
        <v/>
      </c>
      <c r="I79" s="14"/>
    </row>
    <row r="80" customFormat="false" ht="15" hidden="false" customHeight="false" outlineLevel="0" collapsed="false">
      <c r="A80" s="14"/>
      <c r="B80" s="14"/>
      <c r="C80" s="14"/>
      <c r="D80" s="14"/>
      <c r="E80" s="14"/>
      <c r="F80" s="14"/>
      <c r="G80" s="17"/>
      <c r="H80" s="19" t="str">
        <f aca="false">IF(G80="","",EDATE(G80,24))</f>
        <v/>
      </c>
      <c r="I80" s="14"/>
    </row>
    <row r="81" customFormat="false" ht="15" hidden="false" customHeight="false" outlineLevel="0" collapsed="false">
      <c r="A81" s="14"/>
      <c r="B81" s="14"/>
      <c r="C81" s="14"/>
      <c r="D81" s="14"/>
      <c r="E81" s="14"/>
      <c r="F81" s="14"/>
      <c r="G81" s="17"/>
      <c r="H81" s="19" t="str">
        <f aca="false">IF(G81="","",EDATE(G81,24))</f>
        <v/>
      </c>
      <c r="I81" s="14"/>
    </row>
    <row r="82" customFormat="false" ht="15" hidden="false" customHeight="false" outlineLevel="0" collapsed="false">
      <c r="A82" s="14"/>
      <c r="B82" s="14"/>
      <c r="C82" s="14"/>
      <c r="D82" s="14"/>
      <c r="E82" s="14"/>
      <c r="F82" s="14"/>
      <c r="G82" s="17"/>
      <c r="H82" s="19" t="str">
        <f aca="false">IF(G82="","",EDATE(G82,24))</f>
        <v/>
      </c>
      <c r="I82" s="14"/>
    </row>
    <row r="83" customFormat="false" ht="15" hidden="false" customHeight="false" outlineLevel="0" collapsed="false">
      <c r="A83" s="14"/>
      <c r="B83" s="14"/>
      <c r="C83" s="14"/>
      <c r="D83" s="14"/>
      <c r="E83" s="14"/>
      <c r="F83" s="14"/>
      <c r="G83" s="17"/>
      <c r="H83" s="19" t="str">
        <f aca="false">IF(G83="","",EDATE(G83,24))</f>
        <v/>
      </c>
      <c r="I83" s="14"/>
    </row>
    <row r="84" customFormat="false" ht="15" hidden="false" customHeight="false" outlineLevel="0" collapsed="false">
      <c r="A84" s="14"/>
      <c r="B84" s="14"/>
      <c r="C84" s="14"/>
      <c r="D84" s="14"/>
      <c r="E84" s="14"/>
      <c r="F84" s="14"/>
      <c r="G84" s="17"/>
      <c r="H84" s="19" t="str">
        <f aca="false">IF(G84="","",EDATE(G84,24))</f>
        <v/>
      </c>
      <c r="I84" s="14"/>
    </row>
    <row r="85" customFormat="false" ht="15" hidden="false" customHeight="false" outlineLevel="0" collapsed="false">
      <c r="A85" s="14"/>
      <c r="B85" s="14"/>
      <c r="C85" s="14"/>
      <c r="D85" s="14"/>
      <c r="E85" s="14"/>
      <c r="F85" s="14"/>
      <c r="G85" s="17"/>
      <c r="H85" s="19" t="str">
        <f aca="false">IF(G85="","",EDATE(G85,24))</f>
        <v/>
      </c>
      <c r="I85" s="14"/>
    </row>
    <row r="86" customFormat="false" ht="15" hidden="false" customHeight="false" outlineLevel="0" collapsed="false">
      <c r="A86" s="14"/>
      <c r="B86" s="14"/>
      <c r="C86" s="14"/>
      <c r="D86" s="14"/>
      <c r="E86" s="14"/>
      <c r="F86" s="14"/>
      <c r="G86" s="17"/>
      <c r="H86" s="19" t="str">
        <f aca="false">IF(G86="","",EDATE(G86,24))</f>
        <v/>
      </c>
      <c r="I86" s="14"/>
    </row>
    <row r="87" customFormat="false" ht="15" hidden="false" customHeight="false" outlineLevel="0" collapsed="false">
      <c r="A87" s="14"/>
      <c r="B87" s="14"/>
      <c r="C87" s="14"/>
      <c r="D87" s="14"/>
      <c r="E87" s="14"/>
      <c r="F87" s="14"/>
      <c r="G87" s="17"/>
      <c r="H87" s="19" t="str">
        <f aca="false">IF(G87="","",EDATE(G87,24))</f>
        <v/>
      </c>
      <c r="I87" s="14"/>
    </row>
    <row r="88" customFormat="false" ht="15" hidden="false" customHeight="false" outlineLevel="0" collapsed="false">
      <c r="A88" s="14"/>
      <c r="B88" s="14"/>
      <c r="C88" s="14"/>
      <c r="D88" s="14"/>
      <c r="E88" s="14"/>
      <c r="F88" s="14"/>
      <c r="G88" s="17"/>
      <c r="H88" s="19" t="str">
        <f aca="false">IF(G88="","",EDATE(G88,24))</f>
        <v/>
      </c>
      <c r="I88" s="14"/>
    </row>
    <row r="89" customFormat="false" ht="15" hidden="false" customHeight="false" outlineLevel="0" collapsed="false">
      <c r="A89" s="14"/>
      <c r="B89" s="14"/>
      <c r="C89" s="14"/>
      <c r="D89" s="14"/>
      <c r="E89" s="14"/>
      <c r="F89" s="14"/>
      <c r="G89" s="17"/>
      <c r="H89" s="19" t="str">
        <f aca="false">IF(G89="","",EDATE(G89,24))</f>
        <v/>
      </c>
      <c r="I89" s="14"/>
    </row>
    <row r="90" customFormat="false" ht="15" hidden="false" customHeight="false" outlineLevel="0" collapsed="false">
      <c r="A90" s="14"/>
      <c r="B90" s="14"/>
      <c r="C90" s="14"/>
      <c r="D90" s="14"/>
      <c r="E90" s="14"/>
      <c r="F90" s="14"/>
      <c r="G90" s="17"/>
      <c r="H90" s="19" t="str">
        <f aca="false">IF(G90="","",EDATE(G90,24))</f>
        <v/>
      </c>
      <c r="I90" s="14"/>
    </row>
    <row r="91" customFormat="false" ht="15" hidden="false" customHeight="false" outlineLevel="0" collapsed="false">
      <c r="A91" s="14"/>
      <c r="B91" s="14"/>
      <c r="C91" s="14"/>
      <c r="D91" s="14"/>
      <c r="E91" s="14"/>
      <c r="F91" s="14"/>
      <c r="G91" s="17"/>
      <c r="H91" s="19" t="str">
        <f aca="false">IF(G91="","",EDATE(G91,24))</f>
        <v/>
      </c>
      <c r="I91" s="14"/>
    </row>
    <row r="92" customFormat="false" ht="15" hidden="false" customHeight="false" outlineLevel="0" collapsed="false">
      <c r="A92" s="14"/>
      <c r="B92" s="14"/>
      <c r="C92" s="14"/>
      <c r="D92" s="14"/>
      <c r="E92" s="14"/>
      <c r="F92" s="14"/>
      <c r="G92" s="17"/>
      <c r="H92" s="19" t="str">
        <f aca="false">IF(G92="","",EDATE(G92,24))</f>
        <v/>
      </c>
      <c r="I92" s="14"/>
    </row>
    <row r="93" customFormat="false" ht="15" hidden="false" customHeight="false" outlineLevel="0" collapsed="false">
      <c r="A93" s="14"/>
      <c r="B93" s="14"/>
      <c r="C93" s="14"/>
      <c r="D93" s="14"/>
      <c r="E93" s="14"/>
      <c r="F93" s="14"/>
      <c r="G93" s="17"/>
      <c r="H93" s="19" t="str">
        <f aca="false">IF(G93="","",EDATE(G93,24))</f>
        <v/>
      </c>
      <c r="I93" s="14"/>
    </row>
    <row r="94" customFormat="false" ht="15" hidden="false" customHeight="false" outlineLevel="0" collapsed="false">
      <c r="A94" s="14"/>
      <c r="B94" s="14"/>
      <c r="C94" s="14"/>
      <c r="D94" s="14"/>
      <c r="E94" s="14"/>
      <c r="F94" s="14"/>
      <c r="G94" s="17"/>
      <c r="H94" s="19" t="str">
        <f aca="false">IF(G94="","",EDATE(G94,24))</f>
        <v/>
      </c>
      <c r="I94" s="14"/>
    </row>
    <row r="95" customFormat="false" ht="15" hidden="false" customHeight="false" outlineLevel="0" collapsed="false">
      <c r="A95" s="14"/>
      <c r="B95" s="14"/>
      <c r="C95" s="14"/>
      <c r="D95" s="14"/>
      <c r="E95" s="14"/>
      <c r="F95" s="14"/>
      <c r="G95" s="17"/>
      <c r="H95" s="19" t="str">
        <f aca="false">IF(G95="","",EDATE(G95,24))</f>
        <v/>
      </c>
      <c r="I95" s="14"/>
    </row>
    <row r="96" customFormat="false" ht="15" hidden="false" customHeight="false" outlineLevel="0" collapsed="false">
      <c r="A96" s="14"/>
      <c r="B96" s="14"/>
      <c r="C96" s="14"/>
      <c r="D96" s="14"/>
      <c r="E96" s="14"/>
      <c r="F96" s="14"/>
      <c r="G96" s="17"/>
      <c r="H96" s="19" t="str">
        <f aca="false">IF(G96="","",EDATE(G96,24))</f>
        <v/>
      </c>
      <c r="I96" s="14"/>
    </row>
    <row r="97" customFormat="false" ht="15" hidden="false" customHeight="false" outlineLevel="0" collapsed="false">
      <c r="A97" s="14"/>
      <c r="B97" s="14"/>
      <c r="C97" s="14"/>
      <c r="D97" s="14"/>
      <c r="E97" s="14"/>
      <c r="F97" s="14"/>
      <c r="G97" s="17"/>
      <c r="H97" s="19" t="str">
        <f aca="false">IF(G97="","",EDATE(G97,24))</f>
        <v/>
      </c>
      <c r="I97" s="14"/>
    </row>
    <row r="98" customFormat="false" ht="15" hidden="false" customHeight="false" outlineLevel="0" collapsed="false">
      <c r="A98" s="14"/>
      <c r="B98" s="14"/>
      <c r="C98" s="14"/>
      <c r="D98" s="14"/>
      <c r="E98" s="14"/>
      <c r="F98" s="14"/>
      <c r="G98" s="17"/>
      <c r="H98" s="19" t="str">
        <f aca="false">IF(G98="","",EDATE(G98,24))</f>
        <v/>
      </c>
      <c r="I98" s="14"/>
    </row>
    <row r="99" customFormat="false" ht="15" hidden="false" customHeight="false" outlineLevel="0" collapsed="false">
      <c r="A99" s="14"/>
      <c r="B99" s="14"/>
      <c r="C99" s="14"/>
      <c r="D99" s="14"/>
      <c r="E99" s="14"/>
      <c r="F99" s="14"/>
      <c r="G99" s="17"/>
      <c r="H99" s="19" t="str">
        <f aca="false">IF(G99="","",EDATE(G99,24))</f>
        <v/>
      </c>
      <c r="I99" s="14"/>
    </row>
    <row r="100" customFormat="false" ht="15" hidden="false" customHeight="false" outlineLevel="0" collapsed="false">
      <c r="A100" s="14"/>
      <c r="B100" s="14"/>
      <c r="C100" s="14"/>
      <c r="D100" s="14"/>
      <c r="E100" s="14"/>
      <c r="F100" s="14"/>
      <c r="G100" s="17"/>
      <c r="H100" s="19" t="str">
        <f aca="false">IF(G100="","",EDATE(G100,24))</f>
        <v/>
      </c>
      <c r="I100" s="14"/>
    </row>
    <row r="101" customFormat="false" ht="15" hidden="false" customHeight="false" outlineLevel="0" collapsed="false">
      <c r="A101" s="14"/>
      <c r="B101" s="14"/>
      <c r="C101" s="14"/>
      <c r="D101" s="14"/>
      <c r="E101" s="14"/>
      <c r="F101" s="14"/>
      <c r="G101" s="17"/>
      <c r="H101" s="19" t="str">
        <f aca="false">IF(G101="","",EDATE(G101,24))</f>
        <v/>
      </c>
      <c r="I101" s="14"/>
    </row>
    <row r="102" customFormat="false" ht="15" hidden="false" customHeight="false" outlineLevel="0" collapsed="false">
      <c r="A102" s="14"/>
      <c r="B102" s="14"/>
      <c r="C102" s="14"/>
      <c r="D102" s="14"/>
      <c r="E102" s="14"/>
      <c r="F102" s="14"/>
      <c r="G102" s="17"/>
      <c r="H102" s="19" t="str">
        <f aca="false">IF(G102="","",EDATE(G102,24))</f>
        <v/>
      </c>
      <c r="I102" s="14"/>
    </row>
    <row r="103" customFormat="false" ht="15" hidden="false" customHeight="false" outlineLevel="0" collapsed="false">
      <c r="A103" s="14"/>
      <c r="B103" s="14"/>
      <c r="C103" s="14"/>
      <c r="D103" s="14"/>
      <c r="E103" s="14"/>
      <c r="F103" s="14"/>
      <c r="G103" s="17"/>
      <c r="H103" s="19" t="str">
        <f aca="false">IF(G103="","",EDATE(G103,24))</f>
        <v/>
      </c>
      <c r="I103" s="14"/>
    </row>
    <row r="104" customFormat="false" ht="15" hidden="false" customHeight="false" outlineLevel="0" collapsed="false">
      <c r="A104" s="14"/>
      <c r="B104" s="14"/>
      <c r="C104" s="14"/>
      <c r="D104" s="14"/>
      <c r="E104" s="14"/>
      <c r="F104" s="14"/>
      <c r="G104" s="17"/>
      <c r="H104" s="19" t="str">
        <f aca="false">IF(G104="","",EDATE(G104,24))</f>
        <v/>
      </c>
      <c r="I104" s="14"/>
    </row>
    <row r="105" customFormat="false" ht="15" hidden="false" customHeight="false" outlineLevel="0" collapsed="false">
      <c r="A105" s="14"/>
      <c r="B105" s="14"/>
      <c r="C105" s="14"/>
      <c r="D105" s="14"/>
      <c r="E105" s="14"/>
      <c r="F105" s="14"/>
      <c r="G105" s="17"/>
      <c r="H105" s="19" t="str">
        <f aca="false">IF(G105="","",EDATE(G105,24))</f>
        <v/>
      </c>
      <c r="I105" s="14"/>
    </row>
    <row r="106" customFormat="false" ht="15" hidden="false" customHeight="false" outlineLevel="0" collapsed="false">
      <c r="A106" s="14"/>
      <c r="B106" s="14"/>
      <c r="C106" s="14"/>
      <c r="D106" s="14"/>
      <c r="E106" s="14"/>
      <c r="F106" s="14"/>
      <c r="G106" s="17"/>
      <c r="H106" s="19" t="str">
        <f aca="false">IF(G106="","",EDATE(G106,24))</f>
        <v/>
      </c>
      <c r="I106" s="14"/>
    </row>
    <row r="107" customFormat="false" ht="15" hidden="false" customHeight="false" outlineLevel="0" collapsed="false">
      <c r="A107" s="14"/>
      <c r="B107" s="14"/>
      <c r="C107" s="14"/>
      <c r="D107" s="14"/>
      <c r="E107" s="14"/>
      <c r="F107" s="14"/>
      <c r="G107" s="17"/>
      <c r="H107" s="19" t="str">
        <f aca="false">IF(G107="","",EDATE(G107,24))</f>
        <v/>
      </c>
      <c r="I107" s="14"/>
    </row>
    <row r="108" customFormat="false" ht="15" hidden="false" customHeight="false" outlineLevel="0" collapsed="false">
      <c r="A108" s="14"/>
      <c r="B108" s="14"/>
      <c r="C108" s="14"/>
      <c r="D108" s="14"/>
      <c r="E108" s="14"/>
      <c r="F108" s="14"/>
      <c r="G108" s="17"/>
      <c r="H108" s="19" t="str">
        <f aca="false">IF(G108="","",EDATE(G108,24))</f>
        <v/>
      </c>
      <c r="I108" s="14"/>
    </row>
    <row r="109" customFormat="false" ht="15" hidden="false" customHeight="false" outlineLevel="0" collapsed="false">
      <c r="A109" s="14"/>
      <c r="B109" s="14"/>
      <c r="C109" s="14"/>
      <c r="D109" s="14"/>
      <c r="E109" s="14"/>
      <c r="F109" s="14"/>
      <c r="G109" s="17"/>
      <c r="H109" s="19" t="str">
        <f aca="false">IF(G109="","",EDATE(G109,24))</f>
        <v/>
      </c>
      <c r="I109" s="14"/>
    </row>
    <row r="110" customFormat="false" ht="15" hidden="false" customHeight="false" outlineLevel="0" collapsed="false">
      <c r="A110" s="14"/>
      <c r="B110" s="14"/>
      <c r="C110" s="14"/>
      <c r="D110" s="14"/>
      <c r="E110" s="14"/>
      <c r="F110" s="14"/>
      <c r="G110" s="17"/>
      <c r="H110" s="19" t="str">
        <f aca="false">IF(G110="","",EDATE(G110,24))</f>
        <v/>
      </c>
      <c r="I110" s="14"/>
    </row>
    <row r="111" customFormat="false" ht="15" hidden="false" customHeight="false" outlineLevel="0" collapsed="false">
      <c r="A111" s="14"/>
      <c r="B111" s="14"/>
      <c r="C111" s="14"/>
      <c r="D111" s="14"/>
      <c r="E111" s="14"/>
      <c r="F111" s="14"/>
      <c r="G111" s="17"/>
      <c r="H111" s="19" t="str">
        <f aca="false">IF(G111="","",EDATE(G111,24))</f>
        <v/>
      </c>
      <c r="I111" s="14"/>
    </row>
    <row r="112" customFormat="false" ht="15" hidden="false" customHeight="false" outlineLevel="0" collapsed="false">
      <c r="A112" s="14"/>
      <c r="B112" s="14"/>
      <c r="C112" s="14"/>
      <c r="D112" s="14"/>
      <c r="E112" s="14"/>
      <c r="F112" s="14"/>
      <c r="G112" s="17"/>
      <c r="H112" s="19" t="str">
        <f aca="false">IF(G112="","",EDATE(G112,24))</f>
        <v/>
      </c>
      <c r="I112" s="14"/>
    </row>
    <row r="113" customFormat="false" ht="15" hidden="false" customHeight="false" outlineLevel="0" collapsed="false">
      <c r="A113" s="14"/>
      <c r="B113" s="14"/>
      <c r="C113" s="14"/>
      <c r="D113" s="14"/>
      <c r="E113" s="14"/>
      <c r="F113" s="14"/>
      <c r="G113" s="17"/>
      <c r="H113" s="19" t="str">
        <f aca="false">IF(G113="","",EDATE(G113,24))</f>
        <v/>
      </c>
      <c r="I113" s="14"/>
    </row>
    <row r="114" customFormat="false" ht="15" hidden="false" customHeight="false" outlineLevel="0" collapsed="false">
      <c r="A114" s="14"/>
      <c r="B114" s="14"/>
      <c r="C114" s="14"/>
      <c r="D114" s="14"/>
      <c r="E114" s="14"/>
      <c r="F114" s="14"/>
      <c r="G114" s="17"/>
      <c r="H114" s="19" t="str">
        <f aca="false">IF(G114="","",EDATE(G114,24))</f>
        <v/>
      </c>
      <c r="I114" s="14"/>
    </row>
    <row r="115" customFormat="false" ht="15" hidden="false" customHeight="false" outlineLevel="0" collapsed="false">
      <c r="A115" s="14"/>
      <c r="B115" s="14"/>
      <c r="C115" s="14"/>
      <c r="D115" s="14"/>
      <c r="E115" s="14"/>
      <c r="F115" s="14"/>
      <c r="G115" s="17"/>
      <c r="H115" s="19" t="str">
        <f aca="false">IF(G115="","",EDATE(G115,24))</f>
        <v/>
      </c>
      <c r="I115" s="14"/>
    </row>
    <row r="116" customFormat="false" ht="15" hidden="false" customHeight="false" outlineLevel="0" collapsed="false">
      <c r="A116" s="14"/>
      <c r="B116" s="14"/>
      <c r="C116" s="14"/>
      <c r="D116" s="14"/>
      <c r="E116" s="14"/>
      <c r="F116" s="14"/>
      <c r="G116" s="17"/>
      <c r="H116" s="19" t="str">
        <f aca="false">IF(G116="","",EDATE(G116,24))</f>
        <v/>
      </c>
      <c r="I116" s="14"/>
    </row>
    <row r="117" customFormat="false" ht="15" hidden="false" customHeight="false" outlineLevel="0" collapsed="false">
      <c r="A117" s="14"/>
      <c r="B117" s="14"/>
      <c r="C117" s="14"/>
      <c r="D117" s="14"/>
      <c r="E117" s="14"/>
      <c r="F117" s="14"/>
      <c r="G117" s="17"/>
      <c r="H117" s="19" t="str">
        <f aca="false">IF(G117="","",EDATE(G117,24))</f>
        <v/>
      </c>
      <c r="I117" s="14"/>
    </row>
    <row r="118" customFormat="false" ht="15" hidden="false" customHeight="false" outlineLevel="0" collapsed="false">
      <c r="A118" s="14"/>
      <c r="B118" s="14"/>
      <c r="C118" s="14"/>
      <c r="D118" s="14"/>
      <c r="E118" s="14"/>
      <c r="F118" s="14"/>
      <c r="G118" s="17"/>
      <c r="H118" s="19" t="str">
        <f aca="false">IF(G118="","",EDATE(G118,24))</f>
        <v/>
      </c>
      <c r="I118" s="14"/>
    </row>
    <row r="119" customFormat="false" ht="15" hidden="false" customHeight="false" outlineLevel="0" collapsed="false">
      <c r="A119" s="14"/>
      <c r="B119" s="14"/>
      <c r="C119" s="14"/>
      <c r="D119" s="14"/>
      <c r="E119" s="14"/>
      <c r="F119" s="14"/>
      <c r="G119" s="17"/>
      <c r="H119" s="19" t="str">
        <f aca="false">IF(G119="","",EDATE(G119,24))</f>
        <v/>
      </c>
      <c r="I119" s="14"/>
    </row>
    <row r="120" customFormat="false" ht="15" hidden="false" customHeight="false" outlineLevel="0" collapsed="false">
      <c r="A120" s="14"/>
      <c r="B120" s="14"/>
      <c r="C120" s="14"/>
      <c r="D120" s="14"/>
      <c r="E120" s="14"/>
      <c r="F120" s="14"/>
      <c r="G120" s="17"/>
      <c r="H120" s="19" t="str">
        <f aca="false">IF(G120="","",EDATE(G120,24))</f>
        <v/>
      </c>
      <c r="I120" s="14"/>
    </row>
    <row r="121" customFormat="false" ht="15" hidden="false" customHeight="false" outlineLevel="0" collapsed="false">
      <c r="A121" s="14"/>
      <c r="B121" s="14"/>
      <c r="C121" s="14"/>
      <c r="D121" s="14"/>
      <c r="E121" s="14"/>
      <c r="F121" s="14"/>
      <c r="G121" s="17"/>
      <c r="H121" s="19" t="str">
        <f aca="false">IF(G121="","",EDATE(G121,24))</f>
        <v/>
      </c>
      <c r="I121" s="14"/>
    </row>
    <row r="122" customFormat="false" ht="15" hidden="false" customHeight="false" outlineLevel="0" collapsed="false">
      <c r="A122" s="14"/>
      <c r="B122" s="14"/>
      <c r="C122" s="14"/>
      <c r="D122" s="14"/>
      <c r="E122" s="14"/>
      <c r="F122" s="14"/>
      <c r="G122" s="17"/>
      <c r="H122" s="19" t="str">
        <f aca="false">IF(G122="","",EDATE(G122,24))</f>
        <v/>
      </c>
      <c r="I122" s="14"/>
    </row>
    <row r="123" customFormat="false" ht="15" hidden="false" customHeight="false" outlineLevel="0" collapsed="false">
      <c r="A123" s="14"/>
      <c r="B123" s="14"/>
      <c r="C123" s="14"/>
      <c r="D123" s="14"/>
      <c r="E123" s="14"/>
      <c r="F123" s="14"/>
      <c r="G123" s="17"/>
      <c r="H123" s="19" t="str">
        <f aca="false">IF(G123="","",EDATE(G123,24))</f>
        <v/>
      </c>
      <c r="I123" s="14"/>
    </row>
    <row r="124" customFormat="false" ht="15" hidden="false" customHeight="false" outlineLevel="0" collapsed="false">
      <c r="A124" s="14"/>
      <c r="B124" s="14"/>
      <c r="C124" s="14"/>
      <c r="D124" s="14"/>
      <c r="E124" s="14"/>
      <c r="F124" s="14"/>
      <c r="G124" s="17"/>
      <c r="H124" s="19" t="str">
        <f aca="false">IF(G124="","",EDATE(G124,24))</f>
        <v/>
      </c>
      <c r="I124" s="14"/>
    </row>
    <row r="125" customFormat="false" ht="15" hidden="false" customHeight="false" outlineLevel="0" collapsed="false">
      <c r="A125" s="14"/>
      <c r="B125" s="14"/>
      <c r="C125" s="14"/>
      <c r="D125" s="14"/>
      <c r="E125" s="14"/>
      <c r="F125" s="14"/>
      <c r="G125" s="17"/>
      <c r="H125" s="19" t="str">
        <f aca="false">IF(G125="","",EDATE(G125,24))</f>
        <v/>
      </c>
      <c r="I125" s="14"/>
    </row>
    <row r="126" customFormat="false" ht="15" hidden="false" customHeight="false" outlineLevel="0" collapsed="false">
      <c r="A126" s="14"/>
      <c r="B126" s="14"/>
      <c r="C126" s="14"/>
      <c r="D126" s="14"/>
      <c r="E126" s="14"/>
      <c r="F126" s="14"/>
      <c r="G126" s="17"/>
      <c r="H126" s="19" t="str">
        <f aca="false">IF(G126="","",EDATE(G126,24))</f>
        <v/>
      </c>
      <c r="I126" s="14"/>
    </row>
    <row r="127" customFormat="false" ht="15" hidden="false" customHeight="false" outlineLevel="0" collapsed="false">
      <c r="A127" s="14"/>
      <c r="B127" s="14"/>
      <c r="C127" s="14"/>
      <c r="D127" s="14"/>
      <c r="E127" s="14"/>
      <c r="F127" s="14"/>
      <c r="G127" s="17"/>
      <c r="H127" s="19" t="str">
        <f aca="false">IF(G127="","",EDATE(G127,24))</f>
        <v/>
      </c>
      <c r="I127" s="14"/>
    </row>
    <row r="128" customFormat="false" ht="15" hidden="false" customHeight="false" outlineLevel="0" collapsed="false">
      <c r="A128" s="14"/>
      <c r="B128" s="14"/>
      <c r="C128" s="14"/>
      <c r="D128" s="14"/>
      <c r="E128" s="14"/>
      <c r="F128" s="14"/>
      <c r="G128" s="17"/>
      <c r="H128" s="19" t="str">
        <f aca="false">IF(G128="","",EDATE(G128,24))</f>
        <v/>
      </c>
      <c r="I128" s="14"/>
    </row>
    <row r="129" customFormat="false" ht="15" hidden="false" customHeight="false" outlineLevel="0" collapsed="false">
      <c r="A129" s="14"/>
      <c r="B129" s="14"/>
      <c r="C129" s="14"/>
      <c r="D129" s="14"/>
      <c r="E129" s="14"/>
      <c r="F129" s="14"/>
      <c r="G129" s="17"/>
      <c r="H129" s="19" t="str">
        <f aca="false">IF(G129="","",EDATE(G129,24))</f>
        <v/>
      </c>
      <c r="I129" s="14"/>
    </row>
    <row r="130" customFormat="false" ht="15" hidden="false" customHeight="false" outlineLevel="0" collapsed="false">
      <c r="A130" s="14"/>
      <c r="B130" s="14"/>
      <c r="C130" s="14"/>
      <c r="D130" s="14"/>
      <c r="E130" s="14"/>
      <c r="F130" s="14"/>
      <c r="G130" s="17"/>
      <c r="H130" s="19" t="str">
        <f aca="false">IF(G130="","",EDATE(G130,24))</f>
        <v/>
      </c>
      <c r="I130" s="14"/>
    </row>
    <row r="131" customFormat="false" ht="15" hidden="false" customHeight="false" outlineLevel="0" collapsed="false">
      <c r="A131" s="14"/>
      <c r="B131" s="14"/>
      <c r="C131" s="14"/>
      <c r="D131" s="14"/>
      <c r="E131" s="14"/>
      <c r="F131" s="14"/>
      <c r="G131" s="17"/>
      <c r="H131" s="19" t="str">
        <f aca="false">IF(G131="","",EDATE(G131,24))</f>
        <v/>
      </c>
      <c r="I131" s="14"/>
    </row>
    <row r="132" customFormat="false" ht="15" hidden="false" customHeight="false" outlineLevel="0" collapsed="false">
      <c r="A132" s="14"/>
      <c r="B132" s="14"/>
      <c r="C132" s="14"/>
      <c r="D132" s="14"/>
      <c r="E132" s="14"/>
      <c r="F132" s="14"/>
      <c r="G132" s="17"/>
      <c r="H132" s="19" t="str">
        <f aca="false">IF(G132="","",EDATE(G132,24))</f>
        <v/>
      </c>
      <c r="I132" s="14"/>
    </row>
    <row r="133" customFormat="false" ht="15" hidden="false" customHeight="false" outlineLevel="0" collapsed="false">
      <c r="A133" s="14"/>
      <c r="B133" s="14"/>
      <c r="C133" s="14"/>
      <c r="D133" s="14"/>
      <c r="E133" s="14"/>
      <c r="F133" s="14"/>
      <c r="G133" s="17"/>
      <c r="H133" s="19" t="str">
        <f aca="false">IF(G133="","",EDATE(G133,24))</f>
        <v/>
      </c>
      <c r="I133" s="14"/>
    </row>
    <row r="134" customFormat="false" ht="15" hidden="false" customHeight="false" outlineLevel="0" collapsed="false">
      <c r="A134" s="14"/>
      <c r="B134" s="14"/>
      <c r="C134" s="14"/>
      <c r="D134" s="14"/>
      <c r="E134" s="14"/>
      <c r="F134" s="14"/>
      <c r="G134" s="17"/>
      <c r="H134" s="19" t="str">
        <f aca="false">IF(G134="","",EDATE(G134,24))</f>
        <v/>
      </c>
      <c r="I134" s="14"/>
    </row>
    <row r="135" customFormat="false" ht="15" hidden="false" customHeight="false" outlineLevel="0" collapsed="false">
      <c r="A135" s="14"/>
      <c r="B135" s="14"/>
      <c r="C135" s="14"/>
      <c r="D135" s="14"/>
      <c r="E135" s="14"/>
      <c r="F135" s="14"/>
      <c r="G135" s="17"/>
      <c r="H135" s="19" t="str">
        <f aca="false">IF(G135="","",EDATE(G135,24))</f>
        <v/>
      </c>
      <c r="I135" s="14"/>
    </row>
    <row r="136" customFormat="false" ht="15" hidden="false" customHeight="false" outlineLevel="0" collapsed="false">
      <c r="A136" s="14"/>
      <c r="B136" s="14"/>
      <c r="C136" s="14"/>
      <c r="D136" s="14"/>
      <c r="E136" s="14"/>
      <c r="F136" s="14"/>
      <c r="G136" s="17"/>
      <c r="H136" s="19" t="str">
        <f aca="false">IF(G136="","",EDATE(G136,24))</f>
        <v/>
      </c>
      <c r="I136" s="14"/>
    </row>
    <row r="137" customFormat="false" ht="15" hidden="false" customHeight="false" outlineLevel="0" collapsed="false">
      <c r="A137" s="14"/>
      <c r="B137" s="14"/>
      <c r="C137" s="14"/>
      <c r="D137" s="14"/>
      <c r="E137" s="14"/>
      <c r="F137" s="14"/>
      <c r="G137" s="17"/>
      <c r="H137" s="19" t="str">
        <f aca="false">IF(G137="","",EDATE(G137,24))</f>
        <v/>
      </c>
      <c r="I137" s="14"/>
    </row>
    <row r="138" customFormat="false" ht="15" hidden="false" customHeight="false" outlineLevel="0" collapsed="false">
      <c r="A138" s="14"/>
      <c r="B138" s="14"/>
      <c r="C138" s="14"/>
      <c r="D138" s="14"/>
      <c r="E138" s="14"/>
      <c r="F138" s="14"/>
      <c r="G138" s="17"/>
      <c r="H138" s="19" t="str">
        <f aca="false">IF(G138="","",EDATE(G138,24))</f>
        <v/>
      </c>
      <c r="I138" s="14"/>
    </row>
    <row r="139" customFormat="false" ht="15" hidden="false" customHeight="false" outlineLevel="0" collapsed="false">
      <c r="A139" s="14"/>
      <c r="B139" s="14"/>
      <c r="C139" s="14"/>
      <c r="D139" s="14"/>
      <c r="E139" s="14"/>
      <c r="F139" s="14"/>
      <c r="G139" s="17"/>
      <c r="H139" s="19" t="str">
        <f aca="false">IF(G139="","",EDATE(G139,24))</f>
        <v/>
      </c>
      <c r="I139" s="14"/>
    </row>
    <row r="140" customFormat="false" ht="15" hidden="false" customHeight="false" outlineLevel="0" collapsed="false">
      <c r="A140" s="14"/>
      <c r="B140" s="14"/>
      <c r="C140" s="14"/>
      <c r="D140" s="14"/>
      <c r="E140" s="14"/>
      <c r="F140" s="14"/>
      <c r="G140" s="17"/>
      <c r="H140" s="19" t="str">
        <f aca="false">IF(G140="","",EDATE(G140,24))</f>
        <v/>
      </c>
      <c r="I140" s="14"/>
    </row>
    <row r="141" customFormat="false" ht="15" hidden="false" customHeight="false" outlineLevel="0" collapsed="false">
      <c r="A141" s="14"/>
      <c r="B141" s="14"/>
      <c r="C141" s="14"/>
      <c r="D141" s="14"/>
      <c r="E141" s="14"/>
      <c r="F141" s="14"/>
      <c r="G141" s="17"/>
      <c r="H141" s="19" t="str">
        <f aca="false">IF(G141="","",EDATE(G141,24))</f>
        <v/>
      </c>
      <c r="I141" s="14"/>
    </row>
    <row r="142" customFormat="false" ht="15" hidden="false" customHeight="false" outlineLevel="0" collapsed="false">
      <c r="A142" s="14"/>
      <c r="B142" s="14"/>
      <c r="C142" s="14"/>
      <c r="D142" s="14"/>
      <c r="E142" s="14"/>
      <c r="F142" s="14"/>
      <c r="G142" s="17"/>
      <c r="H142" s="19" t="str">
        <f aca="false">IF(G142="","",EDATE(G142,24))</f>
        <v/>
      </c>
      <c r="I142" s="14"/>
    </row>
    <row r="143" customFormat="false" ht="15" hidden="false" customHeight="false" outlineLevel="0" collapsed="false">
      <c r="A143" s="14"/>
      <c r="B143" s="14"/>
      <c r="C143" s="14"/>
      <c r="D143" s="14"/>
      <c r="E143" s="14"/>
      <c r="F143" s="14"/>
      <c r="G143" s="17"/>
      <c r="H143" s="19" t="str">
        <f aca="false">IF(G143="","",EDATE(G143,24))</f>
        <v/>
      </c>
      <c r="I143" s="14"/>
    </row>
    <row r="144" customFormat="false" ht="15" hidden="false" customHeight="false" outlineLevel="0" collapsed="false">
      <c r="A144" s="14"/>
      <c r="B144" s="14"/>
      <c r="C144" s="14"/>
      <c r="D144" s="14"/>
      <c r="E144" s="14"/>
      <c r="F144" s="14"/>
      <c r="G144" s="17"/>
      <c r="H144" s="19" t="str">
        <f aca="false">IF(G144="","",EDATE(G144,24))</f>
        <v/>
      </c>
      <c r="I144" s="14"/>
    </row>
    <row r="145" customFormat="false" ht="15" hidden="false" customHeight="false" outlineLevel="0" collapsed="false">
      <c r="A145" s="14"/>
      <c r="B145" s="14"/>
      <c r="C145" s="14"/>
      <c r="D145" s="14"/>
      <c r="E145" s="14"/>
      <c r="F145" s="14"/>
      <c r="G145" s="17"/>
      <c r="H145" s="19" t="str">
        <f aca="false">IF(G145="","",EDATE(G145,24))</f>
        <v/>
      </c>
      <c r="I145" s="14"/>
    </row>
    <row r="146" customFormat="false" ht="15" hidden="false" customHeight="false" outlineLevel="0" collapsed="false">
      <c r="A146" s="14"/>
      <c r="B146" s="14"/>
      <c r="C146" s="14"/>
      <c r="D146" s="14"/>
      <c r="E146" s="14"/>
      <c r="F146" s="14"/>
      <c r="G146" s="17"/>
      <c r="H146" s="19" t="str">
        <f aca="false">IF(G146="","",EDATE(G146,24))</f>
        <v/>
      </c>
      <c r="I146" s="14"/>
    </row>
    <row r="147" customFormat="false" ht="15" hidden="false" customHeight="false" outlineLevel="0" collapsed="false">
      <c r="A147" s="14"/>
      <c r="B147" s="14"/>
      <c r="C147" s="14"/>
      <c r="D147" s="14"/>
      <c r="E147" s="14"/>
      <c r="F147" s="14"/>
      <c r="G147" s="17"/>
      <c r="H147" s="19" t="str">
        <f aca="false">IF(G147="","",EDATE(G147,24))</f>
        <v/>
      </c>
      <c r="I147" s="14"/>
    </row>
    <row r="148" customFormat="false" ht="15" hidden="false" customHeight="false" outlineLevel="0" collapsed="false">
      <c r="A148" s="14"/>
      <c r="B148" s="14"/>
      <c r="C148" s="14"/>
      <c r="D148" s="14"/>
      <c r="E148" s="14"/>
      <c r="F148" s="14"/>
      <c r="G148" s="17"/>
      <c r="H148" s="19" t="str">
        <f aca="false">IF(G148="","",EDATE(G148,24))</f>
        <v/>
      </c>
      <c r="I148" s="14"/>
    </row>
    <row r="149" customFormat="false" ht="15" hidden="false" customHeight="false" outlineLevel="0" collapsed="false">
      <c r="A149" s="14"/>
      <c r="B149" s="14"/>
      <c r="C149" s="14"/>
      <c r="D149" s="14"/>
      <c r="E149" s="14"/>
      <c r="F149" s="14"/>
      <c r="G149" s="17"/>
      <c r="H149" s="19" t="str">
        <f aca="false">IF(G149="","",EDATE(G149,24))</f>
        <v/>
      </c>
      <c r="I149" s="14"/>
    </row>
    <row r="150" customFormat="false" ht="15" hidden="false" customHeight="false" outlineLevel="0" collapsed="false">
      <c r="A150" s="14"/>
      <c r="B150" s="14"/>
      <c r="C150" s="14"/>
      <c r="D150" s="14"/>
      <c r="E150" s="14"/>
      <c r="F150" s="14"/>
      <c r="G150" s="17"/>
      <c r="H150" s="19" t="str">
        <f aca="false">IF(G150="","",EDATE(G150,24))</f>
        <v/>
      </c>
      <c r="I150" s="14"/>
    </row>
    <row r="151" customFormat="false" ht="15" hidden="false" customHeight="false" outlineLevel="0" collapsed="false">
      <c r="A151" s="14"/>
      <c r="B151" s="14"/>
      <c r="C151" s="14"/>
      <c r="D151" s="14"/>
      <c r="E151" s="14"/>
      <c r="F151" s="14"/>
      <c r="G151" s="17"/>
      <c r="H151" s="19" t="str">
        <f aca="false">IF(G151="","",EDATE(G151,24))</f>
        <v/>
      </c>
      <c r="I151" s="14"/>
    </row>
    <row r="152" customFormat="false" ht="15" hidden="false" customHeight="false" outlineLevel="0" collapsed="false">
      <c r="A152" s="14"/>
      <c r="B152" s="14"/>
      <c r="C152" s="14"/>
      <c r="D152" s="14"/>
      <c r="E152" s="14"/>
      <c r="F152" s="14"/>
      <c r="G152" s="17"/>
      <c r="H152" s="19" t="str">
        <f aca="false">IF(G152="","",EDATE(G152,24))</f>
        <v/>
      </c>
      <c r="I152" s="14"/>
    </row>
    <row r="153" customFormat="false" ht="15" hidden="false" customHeight="false" outlineLevel="0" collapsed="false">
      <c r="A153" s="14"/>
      <c r="B153" s="14"/>
      <c r="C153" s="14"/>
      <c r="D153" s="14"/>
      <c r="E153" s="14"/>
      <c r="F153" s="14"/>
      <c r="G153" s="17"/>
      <c r="H153" s="19" t="str">
        <f aca="false">IF(G153="","",EDATE(G153,24))</f>
        <v/>
      </c>
      <c r="I153" s="14"/>
    </row>
    <row r="154" customFormat="false" ht="15" hidden="false" customHeight="false" outlineLevel="0" collapsed="false">
      <c r="A154" s="14"/>
      <c r="B154" s="14"/>
      <c r="C154" s="14"/>
      <c r="D154" s="14"/>
      <c r="E154" s="14"/>
      <c r="F154" s="14"/>
      <c r="G154" s="17"/>
      <c r="H154" s="19" t="str">
        <f aca="false">IF(G154="","",EDATE(G154,24))</f>
        <v/>
      </c>
      <c r="I154" s="14"/>
    </row>
    <row r="155" customFormat="false" ht="15" hidden="false" customHeight="false" outlineLevel="0" collapsed="false">
      <c r="A155" s="14"/>
      <c r="B155" s="14"/>
      <c r="C155" s="14"/>
      <c r="D155" s="14"/>
      <c r="E155" s="14"/>
      <c r="F155" s="14"/>
      <c r="G155" s="17"/>
      <c r="H155" s="19" t="str">
        <f aca="false">IF(G155="","",EDATE(G155,24))</f>
        <v/>
      </c>
      <c r="I155" s="14"/>
    </row>
    <row r="156" customFormat="false" ht="15" hidden="false" customHeight="false" outlineLevel="0" collapsed="false">
      <c r="A156" s="14"/>
      <c r="B156" s="14"/>
      <c r="C156" s="14"/>
      <c r="D156" s="14"/>
      <c r="E156" s="14"/>
      <c r="F156" s="14"/>
      <c r="G156" s="17"/>
      <c r="H156" s="19" t="str">
        <f aca="false">IF(G156="","",EDATE(G156,24))</f>
        <v/>
      </c>
      <c r="I156" s="14"/>
    </row>
    <row r="157" customFormat="false" ht="15" hidden="false" customHeight="false" outlineLevel="0" collapsed="false">
      <c r="A157" s="14"/>
      <c r="B157" s="14"/>
      <c r="C157" s="14"/>
      <c r="D157" s="14"/>
      <c r="E157" s="14"/>
      <c r="F157" s="14"/>
      <c r="G157" s="17"/>
      <c r="H157" s="19" t="str">
        <f aca="false">IF(G157="","",EDATE(G157,24))</f>
        <v/>
      </c>
      <c r="I157" s="14"/>
    </row>
    <row r="158" customFormat="false" ht="15" hidden="false" customHeight="false" outlineLevel="0" collapsed="false">
      <c r="A158" s="14"/>
      <c r="B158" s="14"/>
      <c r="C158" s="14"/>
      <c r="D158" s="14"/>
      <c r="E158" s="14"/>
      <c r="F158" s="14"/>
      <c r="G158" s="17"/>
      <c r="H158" s="19" t="str">
        <f aca="false">IF(G158="","",EDATE(G158,24))</f>
        <v/>
      </c>
      <c r="I158" s="14"/>
    </row>
    <row r="159" customFormat="false" ht="15" hidden="false" customHeight="false" outlineLevel="0" collapsed="false">
      <c r="A159" s="14"/>
      <c r="B159" s="14"/>
      <c r="C159" s="14"/>
      <c r="D159" s="14"/>
      <c r="E159" s="14"/>
      <c r="F159" s="14"/>
      <c r="G159" s="17"/>
      <c r="H159" s="19" t="str">
        <f aca="false">IF(G159="","",EDATE(G159,24))</f>
        <v/>
      </c>
      <c r="I159" s="14"/>
    </row>
    <row r="160" customFormat="false" ht="15" hidden="false" customHeight="false" outlineLevel="0" collapsed="false">
      <c r="A160" s="14"/>
      <c r="B160" s="14"/>
      <c r="C160" s="14"/>
      <c r="D160" s="14"/>
      <c r="E160" s="14"/>
      <c r="F160" s="14"/>
      <c r="G160" s="17"/>
      <c r="H160" s="19" t="str">
        <f aca="false">IF(G160="","",EDATE(G160,24))</f>
        <v/>
      </c>
      <c r="I160" s="14"/>
    </row>
    <row r="161" customFormat="false" ht="15" hidden="false" customHeight="false" outlineLevel="0" collapsed="false">
      <c r="A161" s="14"/>
      <c r="B161" s="14"/>
      <c r="C161" s="14"/>
      <c r="D161" s="14"/>
      <c r="E161" s="14"/>
      <c r="F161" s="14"/>
      <c r="G161" s="17"/>
      <c r="H161" s="19" t="str">
        <f aca="false">IF(G161="","",EDATE(G161,24))</f>
        <v/>
      </c>
      <c r="I161" s="14"/>
    </row>
    <row r="162" customFormat="false" ht="15" hidden="false" customHeight="false" outlineLevel="0" collapsed="false">
      <c r="A162" s="14"/>
      <c r="B162" s="14"/>
      <c r="C162" s="14"/>
      <c r="D162" s="14"/>
      <c r="E162" s="14"/>
      <c r="F162" s="14"/>
      <c r="G162" s="17"/>
      <c r="H162" s="19" t="str">
        <f aca="false">IF(G162="","",EDATE(G162,24))</f>
        <v/>
      </c>
      <c r="I162" s="14"/>
    </row>
    <row r="163" customFormat="false" ht="15" hidden="false" customHeight="false" outlineLevel="0" collapsed="false">
      <c r="A163" s="14"/>
      <c r="B163" s="14"/>
      <c r="C163" s="14"/>
      <c r="D163" s="14"/>
      <c r="E163" s="14"/>
      <c r="F163" s="14"/>
      <c r="G163" s="17"/>
      <c r="H163" s="19" t="str">
        <f aca="false">IF(G163="","",EDATE(G163,24))</f>
        <v/>
      </c>
      <c r="I163" s="14"/>
    </row>
    <row r="164" customFormat="false" ht="15" hidden="false" customHeight="false" outlineLevel="0" collapsed="false">
      <c r="A164" s="14"/>
      <c r="B164" s="14"/>
      <c r="C164" s="14"/>
      <c r="D164" s="14"/>
      <c r="E164" s="14"/>
      <c r="F164" s="14"/>
      <c r="G164" s="17"/>
      <c r="H164" s="19" t="str">
        <f aca="false">IF(G164="","",EDATE(G164,24))</f>
        <v/>
      </c>
      <c r="I164" s="14"/>
    </row>
    <row r="165" customFormat="false" ht="15" hidden="false" customHeight="false" outlineLevel="0" collapsed="false">
      <c r="A165" s="14"/>
      <c r="B165" s="14"/>
      <c r="C165" s="14"/>
      <c r="D165" s="14"/>
      <c r="E165" s="14"/>
      <c r="F165" s="14"/>
      <c r="G165" s="17"/>
      <c r="H165" s="19" t="str">
        <f aca="false">IF(G165="","",EDATE(G165,24))</f>
        <v/>
      </c>
      <c r="I165" s="14"/>
    </row>
    <row r="166" customFormat="false" ht="15" hidden="false" customHeight="false" outlineLevel="0" collapsed="false">
      <c r="A166" s="14"/>
      <c r="B166" s="14"/>
      <c r="C166" s="14"/>
      <c r="D166" s="14"/>
      <c r="E166" s="14"/>
      <c r="F166" s="14"/>
      <c r="G166" s="17"/>
      <c r="H166" s="19" t="str">
        <f aca="false">IF(G166="","",EDATE(G166,24))</f>
        <v/>
      </c>
      <c r="I166" s="14"/>
    </row>
    <row r="167" customFormat="false" ht="15" hidden="false" customHeight="false" outlineLevel="0" collapsed="false">
      <c r="A167" s="14"/>
      <c r="B167" s="14"/>
      <c r="C167" s="14"/>
      <c r="D167" s="14"/>
      <c r="E167" s="14"/>
      <c r="F167" s="14"/>
      <c r="G167" s="17"/>
      <c r="H167" s="19" t="str">
        <f aca="false">IF(G167="","",EDATE(G167,24))</f>
        <v/>
      </c>
      <c r="I167" s="14"/>
    </row>
    <row r="168" customFormat="false" ht="15" hidden="false" customHeight="false" outlineLevel="0" collapsed="false">
      <c r="A168" s="14"/>
      <c r="B168" s="14"/>
      <c r="C168" s="14"/>
      <c r="D168" s="14"/>
      <c r="E168" s="14"/>
      <c r="F168" s="14"/>
      <c r="G168" s="17"/>
      <c r="H168" s="19" t="str">
        <f aca="false">IF(G168="","",EDATE(G168,24))</f>
        <v/>
      </c>
      <c r="I168" s="14"/>
    </row>
    <row r="169" customFormat="false" ht="15" hidden="false" customHeight="false" outlineLevel="0" collapsed="false">
      <c r="A169" s="14"/>
      <c r="B169" s="14"/>
      <c r="C169" s="14"/>
      <c r="D169" s="14"/>
      <c r="E169" s="14"/>
      <c r="F169" s="14"/>
      <c r="G169" s="17"/>
      <c r="H169" s="19" t="str">
        <f aca="false">IF(G169="","",EDATE(G169,24))</f>
        <v/>
      </c>
      <c r="I169" s="14"/>
    </row>
    <row r="170" customFormat="false" ht="15" hidden="false" customHeight="false" outlineLevel="0" collapsed="false">
      <c r="A170" s="14"/>
      <c r="B170" s="14"/>
      <c r="C170" s="14"/>
      <c r="D170" s="14"/>
      <c r="E170" s="14"/>
      <c r="F170" s="14"/>
      <c r="G170" s="17"/>
      <c r="H170" s="19" t="str">
        <f aca="false">IF(G170="","",EDATE(G170,24))</f>
        <v/>
      </c>
      <c r="I170" s="14"/>
    </row>
    <row r="171" customFormat="false" ht="15" hidden="false" customHeight="false" outlineLevel="0" collapsed="false">
      <c r="A171" s="14"/>
      <c r="B171" s="14"/>
      <c r="C171" s="14"/>
      <c r="D171" s="14"/>
      <c r="E171" s="14"/>
      <c r="F171" s="14"/>
      <c r="G171" s="17"/>
      <c r="H171" s="19" t="str">
        <f aca="false">IF(G171="","",EDATE(G171,24))</f>
        <v/>
      </c>
      <c r="I171" s="14"/>
    </row>
    <row r="172" customFormat="false" ht="15" hidden="false" customHeight="false" outlineLevel="0" collapsed="false">
      <c r="A172" s="14"/>
      <c r="B172" s="14"/>
      <c r="C172" s="14"/>
      <c r="D172" s="14"/>
      <c r="E172" s="14"/>
      <c r="F172" s="14"/>
      <c r="G172" s="17"/>
      <c r="H172" s="19" t="str">
        <f aca="false">IF(G172="","",EDATE(G172,24))</f>
        <v/>
      </c>
      <c r="I172" s="14"/>
    </row>
    <row r="173" customFormat="false" ht="15" hidden="false" customHeight="false" outlineLevel="0" collapsed="false">
      <c r="A173" s="14"/>
      <c r="B173" s="14"/>
      <c r="C173" s="14"/>
      <c r="D173" s="14"/>
      <c r="E173" s="14"/>
      <c r="F173" s="14"/>
      <c r="G173" s="17"/>
      <c r="H173" s="19" t="str">
        <f aca="false">IF(G173="","",EDATE(G173,24))</f>
        <v/>
      </c>
      <c r="I173" s="14"/>
    </row>
    <row r="174" customFormat="false" ht="15" hidden="false" customHeight="false" outlineLevel="0" collapsed="false">
      <c r="A174" s="14"/>
      <c r="B174" s="14"/>
      <c r="C174" s="14"/>
      <c r="D174" s="14"/>
      <c r="E174" s="14"/>
      <c r="F174" s="14"/>
      <c r="G174" s="17"/>
      <c r="H174" s="19" t="str">
        <f aca="false">IF(G174="","",EDATE(G174,24))</f>
        <v/>
      </c>
      <c r="I174" s="14"/>
    </row>
    <row r="175" customFormat="false" ht="15" hidden="false" customHeight="false" outlineLevel="0" collapsed="false">
      <c r="A175" s="14"/>
      <c r="B175" s="14"/>
      <c r="C175" s="14"/>
      <c r="D175" s="14"/>
      <c r="E175" s="14"/>
      <c r="F175" s="14"/>
      <c r="G175" s="17"/>
      <c r="H175" s="19" t="str">
        <f aca="false">IF(G175="","",EDATE(G175,24))</f>
        <v/>
      </c>
      <c r="I175" s="14"/>
    </row>
    <row r="176" customFormat="false" ht="15" hidden="false" customHeight="false" outlineLevel="0" collapsed="false">
      <c r="A176" s="14"/>
      <c r="B176" s="14"/>
      <c r="C176" s="14"/>
      <c r="D176" s="14"/>
      <c r="E176" s="14"/>
      <c r="F176" s="14"/>
      <c r="G176" s="17"/>
      <c r="H176" s="19" t="str">
        <f aca="false">IF(G176="","",EDATE(G176,24))</f>
        <v/>
      </c>
      <c r="I176" s="14"/>
    </row>
    <row r="177" customFormat="false" ht="15" hidden="false" customHeight="false" outlineLevel="0" collapsed="false">
      <c r="A177" s="14"/>
      <c r="B177" s="14"/>
      <c r="C177" s="14"/>
      <c r="D177" s="14"/>
      <c r="E177" s="14"/>
      <c r="F177" s="14"/>
      <c r="G177" s="17"/>
      <c r="H177" s="19" t="str">
        <f aca="false">IF(G177="","",EDATE(G177,24))</f>
        <v/>
      </c>
      <c r="I177" s="14"/>
    </row>
    <row r="178" customFormat="false" ht="15" hidden="false" customHeight="false" outlineLevel="0" collapsed="false">
      <c r="A178" s="14"/>
      <c r="B178" s="14"/>
      <c r="C178" s="14"/>
      <c r="D178" s="14"/>
      <c r="E178" s="14"/>
      <c r="F178" s="14"/>
      <c r="G178" s="17"/>
      <c r="H178" s="19" t="str">
        <f aca="false">IF(G178="","",EDATE(G178,24))</f>
        <v/>
      </c>
      <c r="I178" s="14"/>
    </row>
    <row r="179" customFormat="false" ht="15" hidden="false" customHeight="false" outlineLevel="0" collapsed="false">
      <c r="A179" s="14"/>
      <c r="B179" s="14"/>
      <c r="C179" s="14"/>
      <c r="D179" s="14"/>
      <c r="E179" s="14"/>
      <c r="F179" s="14"/>
      <c r="G179" s="17"/>
      <c r="H179" s="19" t="str">
        <f aca="false">IF(G179="","",EDATE(G179,24))</f>
        <v/>
      </c>
      <c r="I179" s="14"/>
    </row>
    <row r="180" customFormat="false" ht="15" hidden="false" customHeight="false" outlineLevel="0" collapsed="false">
      <c r="A180" s="14"/>
      <c r="B180" s="14"/>
      <c r="C180" s="14"/>
      <c r="D180" s="14"/>
      <c r="E180" s="14"/>
      <c r="F180" s="14"/>
      <c r="G180" s="17"/>
      <c r="H180" s="19" t="str">
        <f aca="false">IF(G180="","",EDATE(G180,24))</f>
        <v/>
      </c>
      <c r="I180" s="14"/>
    </row>
    <row r="181" customFormat="false" ht="15" hidden="false" customHeight="false" outlineLevel="0" collapsed="false">
      <c r="A181" s="14"/>
      <c r="B181" s="14"/>
      <c r="C181" s="14"/>
      <c r="D181" s="14"/>
      <c r="E181" s="14"/>
      <c r="F181" s="14"/>
      <c r="G181" s="17"/>
      <c r="H181" s="19" t="str">
        <f aca="false">IF(G181="","",EDATE(G181,24))</f>
        <v/>
      </c>
      <c r="I181" s="14"/>
    </row>
    <row r="182" customFormat="false" ht="15" hidden="false" customHeight="false" outlineLevel="0" collapsed="false">
      <c r="A182" s="14"/>
      <c r="B182" s="14"/>
      <c r="C182" s="14"/>
      <c r="D182" s="14"/>
      <c r="E182" s="14"/>
      <c r="F182" s="14"/>
      <c r="G182" s="17"/>
      <c r="H182" s="19" t="str">
        <f aca="false">IF(G182="","",EDATE(G182,24))</f>
        <v/>
      </c>
      <c r="I182" s="14"/>
    </row>
    <row r="183" customFormat="false" ht="15" hidden="false" customHeight="false" outlineLevel="0" collapsed="false">
      <c r="A183" s="14"/>
      <c r="B183" s="14"/>
      <c r="C183" s="14"/>
      <c r="D183" s="14"/>
      <c r="E183" s="14"/>
      <c r="F183" s="14"/>
      <c r="G183" s="17"/>
      <c r="H183" s="19" t="str">
        <f aca="false">IF(G183="","",EDATE(G183,24))</f>
        <v/>
      </c>
      <c r="I183" s="14"/>
    </row>
    <row r="184" customFormat="false" ht="15" hidden="false" customHeight="false" outlineLevel="0" collapsed="false">
      <c r="A184" s="14"/>
      <c r="B184" s="14"/>
      <c r="C184" s="14"/>
      <c r="D184" s="14"/>
      <c r="E184" s="14"/>
      <c r="F184" s="14"/>
      <c r="G184" s="17"/>
      <c r="H184" s="19" t="str">
        <f aca="false">IF(G184="","",EDATE(G184,24))</f>
        <v/>
      </c>
      <c r="I184" s="14"/>
    </row>
    <row r="185" customFormat="false" ht="15" hidden="false" customHeight="false" outlineLevel="0" collapsed="false">
      <c r="A185" s="14"/>
      <c r="B185" s="14"/>
      <c r="C185" s="14"/>
      <c r="D185" s="14"/>
      <c r="E185" s="14"/>
      <c r="F185" s="14"/>
      <c r="G185" s="17"/>
      <c r="H185" s="19" t="str">
        <f aca="false">IF(G185="","",EDATE(G185,24))</f>
        <v/>
      </c>
      <c r="I185" s="14"/>
    </row>
    <row r="186" customFormat="false" ht="15" hidden="false" customHeight="false" outlineLevel="0" collapsed="false">
      <c r="A186" s="14"/>
      <c r="B186" s="14"/>
      <c r="C186" s="14"/>
      <c r="D186" s="14"/>
      <c r="E186" s="14"/>
      <c r="F186" s="14"/>
      <c r="G186" s="17"/>
      <c r="H186" s="19" t="str">
        <f aca="false">IF(G186="","",EDATE(G186,24))</f>
        <v/>
      </c>
      <c r="I186" s="14"/>
    </row>
    <row r="187" customFormat="false" ht="15" hidden="false" customHeight="false" outlineLevel="0" collapsed="false">
      <c r="A187" s="14"/>
      <c r="B187" s="14"/>
      <c r="C187" s="14"/>
      <c r="D187" s="14"/>
      <c r="E187" s="14"/>
      <c r="F187" s="14"/>
      <c r="G187" s="17"/>
      <c r="H187" s="19" t="str">
        <f aca="false">IF(G187="","",EDATE(G187,24))</f>
        <v/>
      </c>
      <c r="I187" s="14"/>
    </row>
    <row r="188" customFormat="false" ht="15" hidden="false" customHeight="false" outlineLevel="0" collapsed="false">
      <c r="A188" s="14"/>
      <c r="B188" s="14"/>
      <c r="C188" s="14"/>
      <c r="D188" s="14"/>
      <c r="E188" s="14"/>
      <c r="F188" s="14"/>
      <c r="G188" s="17"/>
      <c r="H188" s="19" t="str">
        <f aca="false">IF(G188="","",EDATE(G188,24))</f>
        <v/>
      </c>
      <c r="I188" s="14"/>
    </row>
    <row r="189" customFormat="false" ht="15" hidden="false" customHeight="false" outlineLevel="0" collapsed="false">
      <c r="A189" s="14"/>
      <c r="B189" s="14"/>
      <c r="C189" s="14"/>
      <c r="D189" s="14"/>
      <c r="E189" s="14"/>
      <c r="F189" s="14"/>
      <c r="G189" s="17"/>
      <c r="H189" s="19" t="str">
        <f aca="false">IF(G189="","",EDATE(G189,24))</f>
        <v/>
      </c>
      <c r="I189" s="14"/>
    </row>
    <row r="190" customFormat="false" ht="15" hidden="false" customHeight="false" outlineLevel="0" collapsed="false">
      <c r="A190" s="14"/>
      <c r="B190" s="14"/>
      <c r="C190" s="14"/>
      <c r="D190" s="14"/>
      <c r="E190" s="14"/>
      <c r="F190" s="14"/>
      <c r="G190" s="17"/>
      <c r="H190" s="19" t="str">
        <f aca="false">IF(G190="","",EDATE(G190,24))</f>
        <v/>
      </c>
      <c r="I190" s="14"/>
    </row>
    <row r="191" customFormat="false" ht="15" hidden="false" customHeight="false" outlineLevel="0" collapsed="false">
      <c r="A191" s="14"/>
      <c r="B191" s="14"/>
      <c r="C191" s="14"/>
      <c r="D191" s="14"/>
      <c r="E191" s="14"/>
      <c r="F191" s="14"/>
      <c r="G191" s="17"/>
      <c r="H191" s="19" t="str">
        <f aca="false">IF(G191="","",EDATE(G191,24))</f>
        <v/>
      </c>
      <c r="I191" s="14"/>
    </row>
    <row r="192" customFormat="false" ht="15" hidden="false" customHeight="false" outlineLevel="0" collapsed="false">
      <c r="A192" s="14"/>
      <c r="B192" s="14"/>
      <c r="C192" s="14"/>
      <c r="D192" s="14"/>
      <c r="E192" s="14"/>
      <c r="F192" s="14"/>
      <c r="G192" s="17"/>
      <c r="H192" s="19" t="str">
        <f aca="false">IF(G192="","",EDATE(G192,24))</f>
        <v/>
      </c>
      <c r="I192" s="14"/>
    </row>
    <row r="193" customFormat="false" ht="15" hidden="false" customHeight="false" outlineLevel="0" collapsed="false">
      <c r="A193" s="14"/>
      <c r="B193" s="14"/>
      <c r="C193" s="14"/>
      <c r="D193" s="14"/>
      <c r="E193" s="14"/>
      <c r="F193" s="14"/>
      <c r="G193" s="17"/>
      <c r="H193" s="19" t="str">
        <f aca="false">IF(G193="","",EDATE(G193,24))</f>
        <v/>
      </c>
      <c r="I193" s="14"/>
    </row>
    <row r="194" customFormat="false" ht="15" hidden="false" customHeight="false" outlineLevel="0" collapsed="false">
      <c r="A194" s="14"/>
      <c r="B194" s="14"/>
      <c r="C194" s="14"/>
      <c r="D194" s="14"/>
      <c r="E194" s="14"/>
      <c r="F194" s="14"/>
      <c r="G194" s="17"/>
      <c r="H194" s="19" t="str">
        <f aca="false">IF(G194="","",EDATE(G194,24))</f>
        <v/>
      </c>
      <c r="I194" s="14"/>
    </row>
    <row r="195" customFormat="false" ht="15" hidden="false" customHeight="false" outlineLevel="0" collapsed="false">
      <c r="A195" s="14"/>
      <c r="B195" s="14"/>
      <c r="C195" s="14"/>
      <c r="D195" s="14"/>
      <c r="E195" s="14"/>
      <c r="F195" s="14"/>
      <c r="G195" s="17"/>
      <c r="H195" s="19" t="str">
        <f aca="false">IF(G195="","",EDATE(G195,24))</f>
        <v/>
      </c>
      <c r="I195" s="14"/>
    </row>
    <row r="196" customFormat="false" ht="15" hidden="false" customHeight="false" outlineLevel="0" collapsed="false">
      <c r="A196" s="14"/>
      <c r="B196" s="14"/>
      <c r="C196" s="14"/>
      <c r="D196" s="14"/>
      <c r="E196" s="14"/>
      <c r="F196" s="14"/>
      <c r="G196" s="17"/>
      <c r="H196" s="19" t="str">
        <f aca="false">IF(G196="","",EDATE(G196,24))</f>
        <v/>
      </c>
      <c r="I196" s="14"/>
    </row>
    <row r="197" customFormat="false" ht="15" hidden="false" customHeight="false" outlineLevel="0" collapsed="false">
      <c r="A197" s="14"/>
      <c r="B197" s="14"/>
      <c r="C197" s="14"/>
      <c r="D197" s="14"/>
      <c r="E197" s="14"/>
      <c r="F197" s="14"/>
      <c r="G197" s="17"/>
      <c r="H197" s="19" t="str">
        <f aca="false">IF(G197="","",EDATE(G197,24))</f>
        <v/>
      </c>
      <c r="I197" s="14"/>
    </row>
    <row r="198" customFormat="false" ht="15" hidden="false" customHeight="false" outlineLevel="0" collapsed="false">
      <c r="A198" s="14"/>
      <c r="B198" s="14"/>
      <c r="C198" s="14"/>
      <c r="D198" s="14"/>
      <c r="E198" s="14"/>
      <c r="F198" s="14"/>
      <c r="G198" s="17"/>
      <c r="H198" s="19" t="str">
        <f aca="false">IF(G198="","",EDATE(G198,24))</f>
        <v/>
      </c>
      <c r="I198" s="14"/>
    </row>
    <row r="199" customFormat="false" ht="15" hidden="false" customHeight="false" outlineLevel="0" collapsed="false">
      <c r="A199" s="14"/>
      <c r="B199" s="14"/>
      <c r="C199" s="14"/>
      <c r="D199" s="14"/>
      <c r="E199" s="14"/>
      <c r="F199" s="14"/>
      <c r="G199" s="17"/>
      <c r="H199" s="19" t="str">
        <f aca="false">IF(G199="","",EDATE(G199,24))</f>
        <v/>
      </c>
      <c r="I199" s="14"/>
    </row>
    <row r="200" customFormat="false" ht="15" hidden="false" customHeight="false" outlineLevel="0" collapsed="false">
      <c r="A200" s="14"/>
      <c r="B200" s="14"/>
      <c r="C200" s="14"/>
      <c r="D200" s="14"/>
      <c r="E200" s="14"/>
      <c r="F200" s="14"/>
      <c r="G200" s="17"/>
      <c r="H200" s="19" t="str">
        <f aca="false">IF(G200="","",EDATE(G200,24))</f>
        <v/>
      </c>
      <c r="I200" s="14"/>
    </row>
    <row r="201" customFormat="false" ht="15" hidden="false" customHeight="false" outlineLevel="0" collapsed="false">
      <c r="A201" s="14"/>
      <c r="B201" s="14"/>
      <c r="C201" s="14"/>
      <c r="D201" s="14"/>
      <c r="E201" s="14"/>
      <c r="F201" s="14"/>
      <c r="G201" s="17"/>
      <c r="H201" s="19" t="str">
        <f aca="false">IF(G201="","",EDATE(G201,24))</f>
        <v/>
      </c>
      <c r="I201" s="14"/>
    </row>
    <row r="202" customFormat="false" ht="15" hidden="false" customHeight="false" outlineLevel="0" collapsed="false">
      <c r="A202" s="14"/>
      <c r="B202" s="14"/>
      <c r="C202" s="14"/>
      <c r="D202" s="14"/>
      <c r="E202" s="14"/>
      <c r="F202" s="14"/>
      <c r="G202" s="17"/>
      <c r="H202" s="19" t="str">
        <f aca="false">IF(G202="","",EDATE(G202,24))</f>
        <v/>
      </c>
      <c r="I202" s="14"/>
    </row>
    <row r="203" customFormat="false" ht="15" hidden="false" customHeight="false" outlineLevel="0" collapsed="false">
      <c r="A203" s="14"/>
      <c r="B203" s="14"/>
      <c r="C203" s="14"/>
      <c r="D203" s="14"/>
      <c r="E203" s="14"/>
      <c r="F203" s="14"/>
      <c r="G203" s="17"/>
      <c r="H203" s="19" t="str">
        <f aca="false">IF(G203="","",EDATE(G203,24))</f>
        <v/>
      </c>
      <c r="I203" s="14"/>
    </row>
    <row r="204" customFormat="false" ht="15" hidden="false" customHeight="false" outlineLevel="0" collapsed="false">
      <c r="A204" s="14"/>
      <c r="B204" s="14"/>
      <c r="C204" s="14"/>
      <c r="D204" s="14"/>
      <c r="E204" s="14"/>
      <c r="F204" s="14"/>
      <c r="G204" s="17"/>
      <c r="H204" s="19" t="str">
        <f aca="false">IF(G204="","",EDATE(G204,24))</f>
        <v/>
      </c>
      <c r="I204" s="14"/>
    </row>
    <row r="205" customFormat="false" ht="15" hidden="false" customHeight="false" outlineLevel="0" collapsed="false">
      <c r="A205" s="14"/>
      <c r="B205" s="14"/>
      <c r="C205" s="14"/>
      <c r="D205" s="14"/>
      <c r="E205" s="14"/>
      <c r="F205" s="14"/>
      <c r="G205" s="17"/>
      <c r="H205" s="19" t="str">
        <f aca="false">IF(G205="","",EDATE(G205,24))</f>
        <v/>
      </c>
      <c r="I205" s="14"/>
    </row>
    <row r="206" customFormat="false" ht="15" hidden="false" customHeight="false" outlineLevel="0" collapsed="false">
      <c r="A206" s="14"/>
      <c r="B206" s="14"/>
      <c r="C206" s="14"/>
      <c r="D206" s="14"/>
      <c r="E206" s="14"/>
      <c r="F206" s="14"/>
      <c r="G206" s="17"/>
      <c r="H206" s="19" t="str">
        <f aca="false">IF(G206="","",EDATE(G206,24))</f>
        <v/>
      </c>
      <c r="I206" s="14"/>
    </row>
    <row r="207" customFormat="false" ht="15" hidden="false" customHeight="false" outlineLevel="0" collapsed="false">
      <c r="A207" s="14"/>
      <c r="B207" s="14"/>
      <c r="C207" s="14"/>
      <c r="D207" s="14"/>
      <c r="E207" s="14"/>
      <c r="F207" s="14"/>
      <c r="G207" s="17"/>
      <c r="H207" s="19" t="str">
        <f aca="false">IF(G207="","",EDATE(G207,24))</f>
        <v/>
      </c>
      <c r="I207" s="14"/>
    </row>
    <row r="208" customFormat="false" ht="15" hidden="false" customHeight="false" outlineLevel="0" collapsed="false">
      <c r="A208" s="14"/>
      <c r="B208" s="14"/>
      <c r="C208" s="14"/>
      <c r="D208" s="14"/>
      <c r="E208" s="14"/>
      <c r="F208" s="14"/>
      <c r="G208" s="17"/>
      <c r="H208" s="19" t="str">
        <f aca="false">IF(G208="","",EDATE(G208,24))</f>
        <v/>
      </c>
      <c r="I208" s="14"/>
    </row>
    <row r="209" customFormat="false" ht="15" hidden="false" customHeight="false" outlineLevel="0" collapsed="false">
      <c r="A209" s="14"/>
      <c r="B209" s="14"/>
      <c r="C209" s="14"/>
      <c r="D209" s="14"/>
      <c r="E209" s="14"/>
      <c r="F209" s="14"/>
      <c r="G209" s="17"/>
      <c r="H209" s="19" t="str">
        <f aca="false">IF(G209="","",EDATE(G209,24))</f>
        <v/>
      </c>
      <c r="I209" s="14"/>
    </row>
    <row r="210" customFormat="false" ht="15" hidden="false" customHeight="false" outlineLevel="0" collapsed="false">
      <c r="A210" s="14"/>
      <c r="B210" s="14"/>
      <c r="C210" s="14"/>
      <c r="D210" s="14"/>
      <c r="E210" s="14"/>
      <c r="F210" s="14"/>
      <c r="G210" s="17"/>
      <c r="H210" s="19" t="str">
        <f aca="false">IF(G210="","",EDATE(G210,24))</f>
        <v/>
      </c>
      <c r="I210" s="14"/>
    </row>
    <row r="211" customFormat="false" ht="15" hidden="false" customHeight="false" outlineLevel="0" collapsed="false">
      <c r="A211" s="14"/>
      <c r="B211" s="14"/>
      <c r="C211" s="14"/>
      <c r="D211" s="14"/>
      <c r="E211" s="14"/>
      <c r="F211" s="14"/>
      <c r="G211" s="17"/>
      <c r="H211" s="19" t="str">
        <f aca="false">IF(G211="","",EDATE(G211,24))</f>
        <v/>
      </c>
      <c r="I211" s="14"/>
    </row>
    <row r="212" customFormat="false" ht="15" hidden="false" customHeight="false" outlineLevel="0" collapsed="false">
      <c r="A212" s="14"/>
      <c r="B212" s="14"/>
      <c r="C212" s="14"/>
      <c r="D212" s="14"/>
      <c r="E212" s="14"/>
      <c r="F212" s="14"/>
      <c r="G212" s="17"/>
      <c r="H212" s="19" t="str">
        <f aca="false">IF(G212="","",EDATE(G212,24))</f>
        <v/>
      </c>
      <c r="I212" s="14"/>
    </row>
    <row r="213" customFormat="false" ht="15" hidden="false" customHeight="false" outlineLevel="0" collapsed="false">
      <c r="A213" s="14"/>
      <c r="B213" s="14"/>
      <c r="C213" s="14"/>
      <c r="D213" s="14"/>
      <c r="E213" s="14"/>
      <c r="F213" s="14"/>
      <c r="G213" s="17"/>
      <c r="H213" s="19" t="str">
        <f aca="false">IF(G213="","",EDATE(G213,24))</f>
        <v/>
      </c>
      <c r="I213" s="14"/>
    </row>
    <row r="214" customFormat="false" ht="15" hidden="false" customHeight="false" outlineLevel="0" collapsed="false">
      <c r="A214" s="14"/>
      <c r="B214" s="14"/>
      <c r="C214" s="14"/>
      <c r="D214" s="14"/>
      <c r="E214" s="14"/>
      <c r="F214" s="14"/>
      <c r="G214" s="17"/>
      <c r="H214" s="19" t="str">
        <f aca="false">IF(G214="","",EDATE(G214,24))</f>
        <v/>
      </c>
      <c r="I214" s="14"/>
    </row>
    <row r="215" customFormat="false" ht="15" hidden="false" customHeight="false" outlineLevel="0" collapsed="false">
      <c r="A215" s="14"/>
      <c r="B215" s="14"/>
      <c r="C215" s="14"/>
      <c r="D215" s="14"/>
      <c r="E215" s="14"/>
      <c r="F215" s="14"/>
      <c r="G215" s="17"/>
      <c r="H215" s="19" t="str">
        <f aca="false">IF(G215="","",EDATE(G215,24))</f>
        <v/>
      </c>
      <c r="I215" s="14"/>
    </row>
    <row r="216" customFormat="false" ht="15" hidden="false" customHeight="false" outlineLevel="0" collapsed="false">
      <c r="A216" s="14"/>
      <c r="B216" s="14"/>
      <c r="C216" s="14"/>
      <c r="D216" s="14"/>
      <c r="E216" s="14"/>
      <c r="F216" s="14"/>
      <c r="G216" s="17"/>
      <c r="H216" s="19" t="str">
        <f aca="false">IF(G216="","",EDATE(G216,24))</f>
        <v/>
      </c>
      <c r="I216" s="14"/>
    </row>
    <row r="217" customFormat="false" ht="15" hidden="false" customHeight="false" outlineLevel="0" collapsed="false">
      <c r="A217" s="14"/>
      <c r="B217" s="14"/>
      <c r="C217" s="14"/>
      <c r="D217" s="14"/>
      <c r="E217" s="14"/>
      <c r="F217" s="14"/>
      <c r="G217" s="17"/>
      <c r="H217" s="19" t="str">
        <f aca="false">IF(G217="","",EDATE(G217,24))</f>
        <v/>
      </c>
      <c r="I217" s="14"/>
    </row>
    <row r="218" customFormat="false" ht="15" hidden="false" customHeight="false" outlineLevel="0" collapsed="false">
      <c r="A218" s="14"/>
      <c r="B218" s="14"/>
      <c r="C218" s="14"/>
      <c r="D218" s="14"/>
      <c r="E218" s="14"/>
      <c r="F218" s="14"/>
      <c r="G218" s="17"/>
      <c r="H218" s="19" t="str">
        <f aca="false">IF(G218="","",EDATE(G218,24))</f>
        <v/>
      </c>
      <c r="I218" s="14"/>
    </row>
    <row r="219" customFormat="false" ht="15" hidden="false" customHeight="false" outlineLevel="0" collapsed="false">
      <c r="A219" s="14"/>
      <c r="B219" s="14"/>
      <c r="C219" s="14"/>
      <c r="D219" s="14"/>
      <c r="E219" s="14"/>
      <c r="F219" s="14"/>
      <c r="G219" s="17"/>
      <c r="H219" s="19" t="str">
        <f aca="false">IF(G219="","",EDATE(G219,24))</f>
        <v/>
      </c>
      <c r="I219" s="14"/>
    </row>
    <row r="220" customFormat="false" ht="15" hidden="false" customHeight="false" outlineLevel="0" collapsed="false">
      <c r="A220" s="14"/>
      <c r="B220" s="14"/>
      <c r="C220" s="14"/>
      <c r="D220" s="14"/>
      <c r="E220" s="14"/>
      <c r="F220" s="14"/>
      <c r="G220" s="17"/>
      <c r="H220" s="19" t="str">
        <f aca="false">IF(G220="","",EDATE(G220,24))</f>
        <v/>
      </c>
      <c r="I220" s="14"/>
    </row>
    <row r="221" customFormat="false" ht="15" hidden="false" customHeight="false" outlineLevel="0" collapsed="false">
      <c r="A221" s="14"/>
      <c r="B221" s="14"/>
      <c r="C221" s="14"/>
      <c r="D221" s="14"/>
      <c r="E221" s="14"/>
      <c r="F221" s="14"/>
      <c r="G221" s="17"/>
      <c r="H221" s="19" t="str">
        <f aca="false">IF(G221="","",EDATE(G221,24))</f>
        <v/>
      </c>
      <c r="I221" s="14"/>
    </row>
    <row r="222" customFormat="false" ht="15" hidden="false" customHeight="false" outlineLevel="0" collapsed="false">
      <c r="A222" s="14"/>
      <c r="B222" s="14"/>
      <c r="C222" s="14"/>
      <c r="D222" s="14"/>
      <c r="E222" s="14"/>
      <c r="F222" s="14"/>
      <c r="G222" s="17"/>
      <c r="H222" s="19" t="str">
        <f aca="false">IF(G222="","",EDATE(G222,24))</f>
        <v/>
      </c>
      <c r="I222" s="14"/>
    </row>
    <row r="223" customFormat="false" ht="15" hidden="false" customHeight="false" outlineLevel="0" collapsed="false">
      <c r="A223" s="14"/>
      <c r="B223" s="14"/>
      <c r="C223" s="14"/>
      <c r="D223" s="14"/>
      <c r="E223" s="14"/>
      <c r="F223" s="14"/>
      <c r="G223" s="17"/>
      <c r="H223" s="19" t="str">
        <f aca="false">IF(G223="","",EDATE(G223,24))</f>
        <v/>
      </c>
      <c r="I223" s="14"/>
    </row>
    <row r="224" customFormat="false" ht="15" hidden="false" customHeight="false" outlineLevel="0" collapsed="false">
      <c r="A224" s="14"/>
      <c r="B224" s="14"/>
      <c r="C224" s="14"/>
      <c r="D224" s="14"/>
      <c r="E224" s="14"/>
      <c r="F224" s="14"/>
      <c r="G224" s="17"/>
      <c r="H224" s="19" t="str">
        <f aca="false">IF(G224="","",EDATE(G224,24))</f>
        <v/>
      </c>
      <c r="I224" s="14"/>
    </row>
    <row r="225" customFormat="false" ht="15" hidden="false" customHeight="false" outlineLevel="0" collapsed="false">
      <c r="A225" s="14"/>
      <c r="B225" s="14"/>
      <c r="C225" s="14"/>
      <c r="D225" s="14"/>
      <c r="E225" s="14"/>
      <c r="F225" s="14"/>
      <c r="G225" s="17"/>
      <c r="H225" s="19" t="str">
        <f aca="false">IF(G225="","",EDATE(G225,24))</f>
        <v/>
      </c>
      <c r="I225" s="14"/>
    </row>
    <row r="226" customFormat="false" ht="15" hidden="false" customHeight="false" outlineLevel="0" collapsed="false">
      <c r="A226" s="14"/>
      <c r="B226" s="14"/>
      <c r="C226" s="14"/>
      <c r="D226" s="14"/>
      <c r="E226" s="14"/>
      <c r="F226" s="14"/>
      <c r="G226" s="17"/>
      <c r="H226" s="19" t="str">
        <f aca="false">IF(G226="","",EDATE(G226,24))</f>
        <v/>
      </c>
      <c r="I226" s="14"/>
    </row>
    <row r="227" customFormat="false" ht="15" hidden="false" customHeight="false" outlineLevel="0" collapsed="false">
      <c r="A227" s="14"/>
      <c r="B227" s="14"/>
      <c r="C227" s="14"/>
      <c r="D227" s="14"/>
      <c r="E227" s="14"/>
      <c r="F227" s="14"/>
      <c r="G227" s="17"/>
      <c r="H227" s="19" t="str">
        <f aca="false">IF(G227="","",EDATE(G227,24))</f>
        <v/>
      </c>
      <c r="I227" s="14"/>
    </row>
    <row r="228" customFormat="false" ht="15" hidden="false" customHeight="false" outlineLevel="0" collapsed="false">
      <c r="A228" s="14"/>
      <c r="B228" s="14"/>
      <c r="C228" s="14"/>
      <c r="D228" s="14"/>
      <c r="E228" s="14"/>
      <c r="F228" s="14"/>
      <c r="G228" s="17"/>
      <c r="H228" s="19" t="str">
        <f aca="false">IF(G228="","",EDATE(G228,24))</f>
        <v/>
      </c>
      <c r="I228" s="14"/>
    </row>
    <row r="229" customFormat="false" ht="15" hidden="false" customHeight="false" outlineLevel="0" collapsed="false">
      <c r="A229" s="14"/>
      <c r="B229" s="14"/>
      <c r="C229" s="14"/>
      <c r="D229" s="14"/>
      <c r="E229" s="14"/>
      <c r="F229" s="14"/>
      <c r="G229" s="17"/>
      <c r="H229" s="19" t="str">
        <f aca="false">IF(G229="","",EDATE(G229,24))</f>
        <v/>
      </c>
      <c r="I229" s="14"/>
    </row>
    <row r="230" customFormat="false" ht="15" hidden="false" customHeight="false" outlineLevel="0" collapsed="false">
      <c r="A230" s="14"/>
      <c r="B230" s="14"/>
      <c r="C230" s="14"/>
      <c r="D230" s="14"/>
      <c r="E230" s="14"/>
      <c r="F230" s="14"/>
      <c r="G230" s="17"/>
      <c r="H230" s="19" t="str">
        <f aca="false">IF(G230="","",EDATE(G230,24))</f>
        <v/>
      </c>
      <c r="I230" s="14"/>
    </row>
    <row r="231" customFormat="false" ht="15" hidden="false" customHeight="false" outlineLevel="0" collapsed="false">
      <c r="A231" s="14"/>
      <c r="B231" s="14"/>
      <c r="C231" s="14"/>
      <c r="D231" s="14"/>
      <c r="E231" s="14"/>
      <c r="F231" s="14"/>
      <c r="G231" s="17"/>
      <c r="H231" s="19" t="str">
        <f aca="false">IF(G231="","",EDATE(G231,24))</f>
        <v/>
      </c>
      <c r="I231" s="14"/>
    </row>
    <row r="232" customFormat="false" ht="15" hidden="false" customHeight="false" outlineLevel="0" collapsed="false">
      <c r="A232" s="14"/>
      <c r="B232" s="14"/>
      <c r="C232" s="14"/>
      <c r="D232" s="14"/>
      <c r="E232" s="14"/>
      <c r="F232" s="14"/>
      <c r="G232" s="17"/>
      <c r="H232" s="19" t="str">
        <f aca="false">IF(G232="","",EDATE(G232,24))</f>
        <v/>
      </c>
      <c r="I232" s="14"/>
    </row>
    <row r="233" customFormat="false" ht="15" hidden="false" customHeight="false" outlineLevel="0" collapsed="false">
      <c r="A233" s="14"/>
      <c r="B233" s="14"/>
      <c r="C233" s="14"/>
      <c r="D233" s="14"/>
      <c r="E233" s="14"/>
      <c r="F233" s="14"/>
      <c r="G233" s="17"/>
      <c r="H233" s="19" t="str">
        <f aca="false">IF(G233="","",EDATE(G233,24))</f>
        <v/>
      </c>
      <c r="I233" s="14"/>
    </row>
    <row r="234" customFormat="false" ht="15" hidden="false" customHeight="false" outlineLevel="0" collapsed="false">
      <c r="A234" s="14"/>
      <c r="B234" s="14"/>
      <c r="C234" s="14"/>
      <c r="D234" s="14"/>
      <c r="E234" s="14"/>
      <c r="F234" s="14"/>
      <c r="G234" s="17"/>
      <c r="H234" s="19" t="str">
        <f aca="false">IF(G234="","",EDATE(G234,24))</f>
        <v/>
      </c>
      <c r="I234" s="14"/>
    </row>
    <row r="235" customFormat="false" ht="15" hidden="false" customHeight="false" outlineLevel="0" collapsed="false">
      <c r="A235" s="14"/>
      <c r="B235" s="14"/>
      <c r="C235" s="14"/>
      <c r="D235" s="14"/>
      <c r="E235" s="14"/>
      <c r="F235" s="14"/>
      <c r="G235" s="17"/>
      <c r="H235" s="19" t="str">
        <f aca="false">IF(G235="","",EDATE(G235,24))</f>
        <v/>
      </c>
      <c r="I235" s="14"/>
    </row>
    <row r="236" customFormat="false" ht="15" hidden="false" customHeight="false" outlineLevel="0" collapsed="false">
      <c r="A236" s="14"/>
      <c r="B236" s="14"/>
      <c r="C236" s="14"/>
      <c r="D236" s="14"/>
      <c r="E236" s="14"/>
      <c r="F236" s="14"/>
      <c r="G236" s="17"/>
      <c r="H236" s="19" t="str">
        <f aca="false">IF(G236="","",EDATE(G236,24))</f>
        <v/>
      </c>
      <c r="I236" s="14"/>
    </row>
    <row r="237" customFormat="false" ht="15" hidden="false" customHeight="false" outlineLevel="0" collapsed="false">
      <c r="A237" s="14"/>
      <c r="B237" s="14"/>
      <c r="C237" s="14"/>
      <c r="D237" s="14"/>
      <c r="E237" s="14"/>
      <c r="F237" s="14"/>
      <c r="G237" s="17"/>
      <c r="H237" s="19" t="str">
        <f aca="false">IF(G237="","",EDATE(G237,24))</f>
        <v/>
      </c>
      <c r="I237" s="14"/>
    </row>
    <row r="238" customFormat="false" ht="15" hidden="false" customHeight="false" outlineLevel="0" collapsed="false">
      <c r="A238" s="14"/>
      <c r="B238" s="14"/>
      <c r="C238" s="14"/>
      <c r="D238" s="14"/>
      <c r="E238" s="14"/>
      <c r="F238" s="14"/>
      <c r="G238" s="17"/>
      <c r="H238" s="19" t="str">
        <f aca="false">IF(G238="","",EDATE(G238,24))</f>
        <v/>
      </c>
      <c r="I238" s="14"/>
    </row>
    <row r="239" customFormat="false" ht="15" hidden="false" customHeight="false" outlineLevel="0" collapsed="false">
      <c r="A239" s="14"/>
      <c r="B239" s="14"/>
      <c r="C239" s="14"/>
      <c r="D239" s="14"/>
      <c r="E239" s="14"/>
      <c r="F239" s="14"/>
      <c r="G239" s="17"/>
      <c r="H239" s="19" t="str">
        <f aca="false">IF(G239="","",EDATE(G239,24))</f>
        <v/>
      </c>
      <c r="I239" s="14"/>
    </row>
    <row r="240" customFormat="false" ht="15" hidden="false" customHeight="false" outlineLevel="0" collapsed="false">
      <c r="A240" s="14"/>
      <c r="B240" s="14"/>
      <c r="C240" s="14"/>
      <c r="D240" s="14"/>
      <c r="E240" s="14"/>
      <c r="F240" s="14"/>
      <c r="G240" s="17"/>
      <c r="H240" s="19" t="str">
        <f aca="false">IF(G240="","",EDATE(G240,24))</f>
        <v/>
      </c>
      <c r="I240" s="14"/>
    </row>
    <row r="241" customFormat="false" ht="15" hidden="false" customHeight="false" outlineLevel="0" collapsed="false">
      <c r="A241" s="14"/>
      <c r="B241" s="14"/>
      <c r="C241" s="14"/>
      <c r="D241" s="14"/>
      <c r="E241" s="14"/>
      <c r="F241" s="14"/>
      <c r="G241" s="17"/>
      <c r="H241" s="19" t="str">
        <f aca="false">IF(G241="","",EDATE(G241,24))</f>
        <v/>
      </c>
      <c r="I241" s="14"/>
    </row>
    <row r="242" customFormat="false" ht="15" hidden="false" customHeight="false" outlineLevel="0" collapsed="false">
      <c r="A242" s="14"/>
      <c r="B242" s="14"/>
      <c r="C242" s="14"/>
      <c r="D242" s="14"/>
      <c r="E242" s="14"/>
      <c r="F242" s="14"/>
      <c r="G242" s="17"/>
      <c r="H242" s="19" t="str">
        <f aca="false">IF(G242="","",EDATE(G242,24))</f>
        <v/>
      </c>
      <c r="I242" s="14"/>
    </row>
    <row r="243" customFormat="false" ht="15" hidden="false" customHeight="false" outlineLevel="0" collapsed="false">
      <c r="A243" s="14"/>
      <c r="B243" s="14"/>
      <c r="C243" s="14"/>
      <c r="D243" s="14"/>
      <c r="E243" s="14"/>
      <c r="F243" s="14"/>
      <c r="G243" s="17"/>
      <c r="H243" s="19" t="str">
        <f aca="false">IF(G243="","",EDATE(G243,24))</f>
        <v/>
      </c>
      <c r="I243" s="14"/>
    </row>
    <row r="244" customFormat="false" ht="15" hidden="false" customHeight="false" outlineLevel="0" collapsed="false">
      <c r="A244" s="14"/>
      <c r="B244" s="14"/>
      <c r="C244" s="14"/>
      <c r="D244" s="14"/>
      <c r="E244" s="14"/>
      <c r="F244" s="14"/>
      <c r="G244" s="17"/>
      <c r="H244" s="19" t="str">
        <f aca="false">IF(G244="","",EDATE(G244,24))</f>
        <v/>
      </c>
      <c r="I244" s="14"/>
    </row>
    <row r="245" customFormat="false" ht="15" hidden="false" customHeight="false" outlineLevel="0" collapsed="false">
      <c r="A245" s="14"/>
      <c r="B245" s="14"/>
      <c r="C245" s="14"/>
      <c r="D245" s="14"/>
      <c r="E245" s="14"/>
      <c r="F245" s="14"/>
      <c r="G245" s="17"/>
      <c r="H245" s="19" t="str">
        <f aca="false">IF(G245="","",EDATE(G245,24))</f>
        <v/>
      </c>
      <c r="I245" s="14"/>
    </row>
    <row r="246" customFormat="false" ht="15" hidden="false" customHeight="false" outlineLevel="0" collapsed="false">
      <c r="A246" s="14"/>
      <c r="B246" s="14"/>
      <c r="C246" s="14"/>
      <c r="D246" s="14"/>
      <c r="E246" s="14"/>
      <c r="F246" s="14"/>
      <c r="G246" s="17"/>
      <c r="H246" s="19" t="str">
        <f aca="false">IF(G246="","",EDATE(G246,24))</f>
        <v/>
      </c>
      <c r="I246" s="14"/>
    </row>
    <row r="247" customFormat="false" ht="15" hidden="false" customHeight="false" outlineLevel="0" collapsed="false">
      <c r="A247" s="14"/>
      <c r="B247" s="14"/>
      <c r="C247" s="14"/>
      <c r="D247" s="14"/>
      <c r="E247" s="14"/>
      <c r="F247" s="14"/>
      <c r="G247" s="17"/>
      <c r="H247" s="19" t="str">
        <f aca="false">IF(G247="","",EDATE(G247,24))</f>
        <v/>
      </c>
      <c r="I247" s="14"/>
    </row>
    <row r="248" customFormat="false" ht="15" hidden="false" customHeight="false" outlineLevel="0" collapsed="false">
      <c r="A248" s="14"/>
      <c r="B248" s="14"/>
      <c r="C248" s="14"/>
      <c r="D248" s="14"/>
      <c r="E248" s="14"/>
      <c r="F248" s="14"/>
      <c r="G248" s="17"/>
      <c r="H248" s="19" t="str">
        <f aca="false">IF(G248="","",EDATE(G248,24))</f>
        <v/>
      </c>
      <c r="I248" s="14"/>
    </row>
    <row r="249" customFormat="false" ht="15" hidden="false" customHeight="false" outlineLevel="0" collapsed="false">
      <c r="A249" s="14"/>
      <c r="B249" s="14"/>
      <c r="C249" s="14"/>
      <c r="D249" s="14"/>
      <c r="E249" s="14"/>
      <c r="F249" s="14"/>
      <c r="G249" s="17"/>
      <c r="H249" s="19" t="str">
        <f aca="false">IF(G249="","",EDATE(G249,24))</f>
        <v/>
      </c>
      <c r="I249" s="14"/>
    </row>
    <row r="250" customFormat="false" ht="15" hidden="false" customHeight="false" outlineLevel="0" collapsed="false">
      <c r="A250" s="14"/>
      <c r="B250" s="14"/>
      <c r="C250" s="14"/>
      <c r="D250" s="14"/>
      <c r="E250" s="14"/>
      <c r="F250" s="14"/>
      <c r="G250" s="17"/>
      <c r="H250" s="19" t="str">
        <f aca="false">IF(G250="","",EDATE(G250,24))</f>
        <v/>
      </c>
      <c r="I250" s="14"/>
    </row>
    <row r="251" customFormat="false" ht="15" hidden="false" customHeight="false" outlineLevel="0" collapsed="false">
      <c r="A251" s="14"/>
      <c r="B251" s="14"/>
      <c r="C251" s="14"/>
      <c r="D251" s="14"/>
      <c r="E251" s="14"/>
      <c r="F251" s="14"/>
      <c r="G251" s="17"/>
      <c r="H251" s="19" t="str">
        <f aca="false">IF(G251="","",EDATE(G251,24))</f>
        <v/>
      </c>
      <c r="I251" s="14"/>
    </row>
    <row r="252" customFormat="false" ht="15" hidden="false" customHeight="false" outlineLevel="0" collapsed="false">
      <c r="A252" s="14"/>
      <c r="B252" s="14"/>
      <c r="C252" s="14"/>
      <c r="D252" s="14"/>
      <c r="E252" s="14"/>
      <c r="F252" s="14"/>
      <c r="G252" s="17"/>
      <c r="H252" s="19" t="str">
        <f aca="false">IF(G252="","",EDATE(G252,24))</f>
        <v/>
      </c>
      <c r="I252" s="14"/>
    </row>
    <row r="253" customFormat="false" ht="15" hidden="false" customHeight="false" outlineLevel="0" collapsed="false">
      <c r="A253" s="14"/>
      <c r="B253" s="14"/>
      <c r="C253" s="14"/>
      <c r="D253" s="14"/>
      <c r="E253" s="14"/>
      <c r="F253" s="14"/>
      <c r="G253" s="17"/>
      <c r="H253" s="19" t="str">
        <f aca="false">IF(G253="","",EDATE(G253,24))</f>
        <v/>
      </c>
      <c r="I253" s="14"/>
    </row>
    <row r="254" customFormat="false" ht="15" hidden="false" customHeight="false" outlineLevel="0" collapsed="false">
      <c r="A254" s="14"/>
      <c r="B254" s="14"/>
      <c r="C254" s="14"/>
      <c r="D254" s="14"/>
      <c r="E254" s="14"/>
      <c r="F254" s="14"/>
      <c r="G254" s="17"/>
      <c r="H254" s="19" t="str">
        <f aca="false">IF(G254="","",EDATE(G254,24))</f>
        <v/>
      </c>
      <c r="I254" s="14"/>
    </row>
    <row r="255" customFormat="false" ht="15" hidden="false" customHeight="false" outlineLevel="0" collapsed="false">
      <c r="A255" s="14"/>
      <c r="B255" s="14"/>
      <c r="C255" s="14"/>
      <c r="D255" s="14"/>
      <c r="E255" s="14"/>
      <c r="F255" s="14"/>
      <c r="G255" s="17"/>
      <c r="H255" s="19" t="str">
        <f aca="false">IF(G255="","",EDATE(G255,24))</f>
        <v/>
      </c>
      <c r="I255" s="14"/>
    </row>
    <row r="256" customFormat="false" ht="15" hidden="false" customHeight="false" outlineLevel="0" collapsed="false">
      <c r="A256" s="14"/>
      <c r="B256" s="14"/>
      <c r="C256" s="14"/>
      <c r="D256" s="14"/>
      <c r="E256" s="14"/>
      <c r="F256" s="14"/>
      <c r="G256" s="17"/>
      <c r="H256" s="19" t="str">
        <f aca="false">IF(G256="","",EDATE(G256,24))</f>
        <v/>
      </c>
      <c r="I256" s="14"/>
    </row>
    <row r="257" customFormat="false" ht="15" hidden="false" customHeight="false" outlineLevel="0" collapsed="false">
      <c r="A257" s="14"/>
      <c r="B257" s="14"/>
      <c r="C257" s="14"/>
      <c r="D257" s="14"/>
      <c r="E257" s="14"/>
      <c r="F257" s="14"/>
      <c r="G257" s="17"/>
      <c r="H257" s="19" t="str">
        <f aca="false">IF(G257="","",EDATE(G257,24))</f>
        <v/>
      </c>
      <c r="I257" s="14"/>
    </row>
    <row r="258" customFormat="false" ht="15" hidden="false" customHeight="false" outlineLevel="0" collapsed="false">
      <c r="A258" s="14"/>
      <c r="B258" s="14"/>
      <c r="C258" s="14"/>
      <c r="D258" s="14"/>
      <c r="E258" s="14"/>
      <c r="F258" s="14"/>
      <c r="G258" s="17"/>
      <c r="H258" s="19" t="str">
        <f aca="false">IF(G258="","",EDATE(G258,24))</f>
        <v/>
      </c>
      <c r="I258" s="14"/>
    </row>
    <row r="259" customFormat="false" ht="15" hidden="false" customHeight="false" outlineLevel="0" collapsed="false">
      <c r="A259" s="14"/>
      <c r="B259" s="14"/>
      <c r="C259" s="14"/>
      <c r="D259" s="14"/>
      <c r="E259" s="14"/>
      <c r="F259" s="14"/>
      <c r="G259" s="17"/>
      <c r="H259" s="19" t="str">
        <f aca="false">IF(G259="","",EDATE(G259,24))</f>
        <v/>
      </c>
      <c r="I259" s="14"/>
    </row>
    <row r="260" customFormat="false" ht="15" hidden="false" customHeight="false" outlineLevel="0" collapsed="false">
      <c r="A260" s="14"/>
      <c r="B260" s="14"/>
      <c r="C260" s="14"/>
      <c r="D260" s="14"/>
      <c r="E260" s="14"/>
      <c r="F260" s="14"/>
      <c r="G260" s="17"/>
      <c r="H260" s="19" t="str">
        <f aca="false">IF(G260="","",EDATE(G260,24))</f>
        <v/>
      </c>
      <c r="I260" s="14"/>
    </row>
    <row r="261" customFormat="false" ht="15" hidden="false" customHeight="false" outlineLevel="0" collapsed="false">
      <c r="A261" s="14"/>
      <c r="B261" s="14"/>
      <c r="C261" s="14"/>
      <c r="D261" s="14"/>
      <c r="E261" s="14"/>
      <c r="F261" s="14"/>
      <c r="G261" s="17"/>
      <c r="H261" s="19" t="str">
        <f aca="false">IF(G261="","",EDATE(G261,24))</f>
        <v/>
      </c>
      <c r="I261" s="14"/>
    </row>
    <row r="262" customFormat="false" ht="15" hidden="false" customHeight="false" outlineLevel="0" collapsed="false">
      <c r="A262" s="14"/>
      <c r="B262" s="14"/>
      <c r="C262" s="14"/>
      <c r="D262" s="14"/>
      <c r="E262" s="14"/>
      <c r="F262" s="14"/>
      <c r="G262" s="17"/>
      <c r="H262" s="19" t="str">
        <f aca="false">IF(G262="","",EDATE(G262,24))</f>
        <v/>
      </c>
      <c r="I262" s="14"/>
    </row>
    <row r="263" customFormat="false" ht="15" hidden="false" customHeight="false" outlineLevel="0" collapsed="false">
      <c r="A263" s="14"/>
      <c r="B263" s="14"/>
      <c r="C263" s="14"/>
      <c r="D263" s="14"/>
      <c r="E263" s="14"/>
      <c r="F263" s="14"/>
      <c r="G263" s="17"/>
      <c r="H263" s="19" t="str">
        <f aca="false">IF(G263="","",EDATE(G263,24))</f>
        <v/>
      </c>
      <c r="I263" s="14"/>
    </row>
    <row r="264" customFormat="false" ht="15" hidden="false" customHeight="false" outlineLevel="0" collapsed="false">
      <c r="A264" s="14"/>
      <c r="B264" s="14"/>
      <c r="C264" s="14"/>
      <c r="D264" s="14"/>
      <c r="E264" s="14"/>
      <c r="F264" s="14"/>
      <c r="G264" s="17"/>
      <c r="H264" s="19" t="str">
        <f aca="false">IF(G264="","",EDATE(G264,24))</f>
        <v/>
      </c>
      <c r="I264" s="14"/>
    </row>
    <row r="265" customFormat="false" ht="15" hidden="false" customHeight="false" outlineLevel="0" collapsed="false">
      <c r="A265" s="14"/>
      <c r="B265" s="14"/>
      <c r="C265" s="14"/>
      <c r="D265" s="14"/>
      <c r="E265" s="14"/>
      <c r="F265" s="14"/>
      <c r="G265" s="17"/>
      <c r="H265" s="19" t="str">
        <f aca="false">IF(G265="","",EDATE(G265,24))</f>
        <v/>
      </c>
      <c r="I265" s="14"/>
    </row>
    <row r="266" customFormat="false" ht="15" hidden="false" customHeight="false" outlineLevel="0" collapsed="false">
      <c r="A266" s="14"/>
      <c r="B266" s="14"/>
      <c r="C266" s="14"/>
      <c r="D266" s="14"/>
      <c r="E266" s="14"/>
      <c r="F266" s="14"/>
      <c r="G266" s="17"/>
      <c r="H266" s="19" t="str">
        <f aca="false">IF(G266="","",EDATE(G266,24))</f>
        <v/>
      </c>
      <c r="I266" s="14"/>
    </row>
    <row r="267" customFormat="false" ht="15" hidden="false" customHeight="false" outlineLevel="0" collapsed="false">
      <c r="A267" s="14"/>
      <c r="B267" s="14"/>
      <c r="C267" s="14"/>
      <c r="D267" s="14"/>
      <c r="E267" s="14"/>
      <c r="F267" s="14"/>
      <c r="G267" s="17"/>
      <c r="H267" s="19" t="str">
        <f aca="false">IF(G267="","",EDATE(G267,24))</f>
        <v/>
      </c>
      <c r="I267" s="14"/>
    </row>
    <row r="268" customFormat="false" ht="15" hidden="false" customHeight="false" outlineLevel="0" collapsed="false">
      <c r="A268" s="14"/>
      <c r="B268" s="14"/>
      <c r="C268" s="14"/>
      <c r="D268" s="14"/>
      <c r="E268" s="14"/>
      <c r="F268" s="14"/>
      <c r="G268" s="17"/>
      <c r="H268" s="19" t="str">
        <f aca="false">IF(G268="","",EDATE(G268,24))</f>
        <v/>
      </c>
      <c r="I268" s="14"/>
    </row>
    <row r="269" customFormat="false" ht="15" hidden="false" customHeight="false" outlineLevel="0" collapsed="false">
      <c r="A269" s="14"/>
      <c r="B269" s="14"/>
      <c r="C269" s="14"/>
      <c r="D269" s="14"/>
      <c r="E269" s="14"/>
      <c r="F269" s="14"/>
      <c r="G269" s="17"/>
      <c r="H269" s="19" t="str">
        <f aca="false">IF(G269="","",EDATE(G269,24))</f>
        <v/>
      </c>
      <c r="I269" s="14"/>
    </row>
    <row r="270" customFormat="false" ht="15" hidden="false" customHeight="false" outlineLevel="0" collapsed="false">
      <c r="A270" s="14"/>
      <c r="B270" s="14"/>
      <c r="C270" s="14"/>
      <c r="D270" s="14"/>
      <c r="E270" s="14"/>
      <c r="F270" s="14"/>
      <c r="G270" s="17"/>
      <c r="H270" s="19" t="str">
        <f aca="false">IF(G270="","",EDATE(G270,24))</f>
        <v/>
      </c>
      <c r="I270" s="14"/>
    </row>
    <row r="271" customFormat="false" ht="15" hidden="false" customHeight="false" outlineLevel="0" collapsed="false">
      <c r="A271" s="14"/>
      <c r="B271" s="14"/>
      <c r="C271" s="14"/>
      <c r="D271" s="14"/>
      <c r="E271" s="14"/>
      <c r="F271" s="14"/>
      <c r="G271" s="17"/>
      <c r="H271" s="19" t="str">
        <f aca="false">IF(G271="","",EDATE(G271,24))</f>
        <v/>
      </c>
      <c r="I271" s="14"/>
    </row>
    <row r="272" customFormat="false" ht="15" hidden="false" customHeight="false" outlineLevel="0" collapsed="false">
      <c r="A272" s="14"/>
      <c r="B272" s="14"/>
      <c r="C272" s="14"/>
      <c r="D272" s="14"/>
      <c r="E272" s="14"/>
      <c r="F272" s="14"/>
      <c r="G272" s="17"/>
      <c r="H272" s="19" t="str">
        <f aca="false">IF(G272="","",EDATE(G272,24))</f>
        <v/>
      </c>
      <c r="I272" s="14"/>
    </row>
    <row r="273" customFormat="false" ht="15" hidden="false" customHeight="false" outlineLevel="0" collapsed="false">
      <c r="A273" s="14"/>
      <c r="B273" s="14"/>
      <c r="C273" s="14"/>
      <c r="D273" s="14"/>
      <c r="E273" s="14"/>
      <c r="F273" s="14"/>
      <c r="G273" s="17"/>
      <c r="H273" s="19" t="str">
        <f aca="false">IF(G273="","",EDATE(G273,24))</f>
        <v/>
      </c>
      <c r="I273" s="14"/>
    </row>
    <row r="274" customFormat="false" ht="15" hidden="false" customHeight="false" outlineLevel="0" collapsed="false">
      <c r="A274" s="14"/>
      <c r="B274" s="14"/>
      <c r="C274" s="14"/>
      <c r="D274" s="14"/>
      <c r="E274" s="14"/>
      <c r="F274" s="14"/>
      <c r="G274" s="17"/>
      <c r="H274" s="19" t="str">
        <f aca="false">IF(G274="","",EDATE(G274,24))</f>
        <v/>
      </c>
      <c r="I274" s="14"/>
    </row>
    <row r="275" customFormat="false" ht="15" hidden="false" customHeight="false" outlineLevel="0" collapsed="false">
      <c r="A275" s="14"/>
      <c r="B275" s="14"/>
      <c r="C275" s="14"/>
      <c r="D275" s="14"/>
      <c r="E275" s="14"/>
      <c r="F275" s="14"/>
      <c r="G275" s="17"/>
      <c r="H275" s="19" t="str">
        <f aca="false">IF(G275="","",EDATE(G275,24))</f>
        <v/>
      </c>
      <c r="I275" s="14"/>
    </row>
    <row r="276" customFormat="false" ht="15" hidden="false" customHeight="false" outlineLevel="0" collapsed="false">
      <c r="A276" s="14"/>
      <c r="B276" s="14"/>
      <c r="C276" s="14"/>
      <c r="D276" s="14"/>
      <c r="E276" s="14"/>
      <c r="F276" s="14"/>
      <c r="G276" s="17"/>
      <c r="H276" s="19" t="str">
        <f aca="false">IF(G276="","",EDATE(G276,24))</f>
        <v/>
      </c>
      <c r="I276" s="14"/>
    </row>
    <row r="277" customFormat="false" ht="15" hidden="false" customHeight="false" outlineLevel="0" collapsed="false">
      <c r="A277" s="14"/>
      <c r="B277" s="14"/>
      <c r="C277" s="14"/>
      <c r="D277" s="14"/>
      <c r="E277" s="14"/>
      <c r="F277" s="14"/>
      <c r="G277" s="17"/>
      <c r="H277" s="19" t="str">
        <f aca="false">IF(G277="","",EDATE(G277,24))</f>
        <v/>
      </c>
      <c r="I277" s="14"/>
    </row>
    <row r="278" customFormat="false" ht="15" hidden="false" customHeight="false" outlineLevel="0" collapsed="false">
      <c r="A278" s="14"/>
      <c r="B278" s="14"/>
      <c r="C278" s="14"/>
      <c r="D278" s="14"/>
      <c r="E278" s="14"/>
      <c r="F278" s="14"/>
      <c r="G278" s="17"/>
      <c r="H278" s="19" t="str">
        <f aca="false">IF(G278="","",EDATE(G278,24))</f>
        <v/>
      </c>
      <c r="I278" s="14"/>
    </row>
    <row r="279" customFormat="false" ht="15" hidden="false" customHeight="false" outlineLevel="0" collapsed="false">
      <c r="A279" s="14"/>
      <c r="B279" s="14"/>
      <c r="C279" s="14"/>
      <c r="D279" s="14"/>
      <c r="E279" s="14"/>
      <c r="F279" s="14"/>
      <c r="G279" s="17"/>
      <c r="H279" s="19" t="str">
        <f aca="false">IF(G279="","",EDATE(G279,24))</f>
        <v/>
      </c>
      <c r="I279" s="14"/>
    </row>
    <row r="280" customFormat="false" ht="15" hidden="false" customHeight="false" outlineLevel="0" collapsed="false">
      <c r="A280" s="14"/>
      <c r="B280" s="14"/>
      <c r="C280" s="14"/>
      <c r="D280" s="14"/>
      <c r="E280" s="14"/>
      <c r="F280" s="14"/>
      <c r="G280" s="17"/>
      <c r="H280" s="19" t="str">
        <f aca="false">IF(G280="","",EDATE(G280,24))</f>
        <v/>
      </c>
      <c r="I280" s="14"/>
    </row>
    <row r="281" customFormat="false" ht="15" hidden="false" customHeight="false" outlineLevel="0" collapsed="false">
      <c r="A281" s="14"/>
      <c r="B281" s="14"/>
      <c r="C281" s="14"/>
      <c r="D281" s="14"/>
      <c r="E281" s="14"/>
      <c r="F281" s="14"/>
      <c r="G281" s="17"/>
      <c r="H281" s="19" t="str">
        <f aca="false">IF(G281="","",EDATE(G281,24))</f>
        <v/>
      </c>
      <c r="I281" s="14"/>
    </row>
    <row r="282" customFormat="false" ht="15" hidden="false" customHeight="false" outlineLevel="0" collapsed="false">
      <c r="A282" s="14"/>
      <c r="B282" s="14"/>
      <c r="C282" s="14"/>
      <c r="D282" s="14"/>
      <c r="E282" s="14"/>
      <c r="F282" s="14"/>
      <c r="G282" s="17"/>
      <c r="H282" s="19" t="str">
        <f aca="false">IF(G282="","",EDATE(G282,24))</f>
        <v/>
      </c>
      <c r="I282" s="14"/>
    </row>
    <row r="283" customFormat="false" ht="15" hidden="false" customHeight="false" outlineLevel="0" collapsed="false">
      <c r="A283" s="14"/>
      <c r="B283" s="14"/>
      <c r="C283" s="14"/>
      <c r="D283" s="14"/>
      <c r="E283" s="14"/>
      <c r="F283" s="14"/>
      <c r="G283" s="17"/>
      <c r="H283" s="19" t="str">
        <f aca="false">IF(G283="","",EDATE(G283,24))</f>
        <v/>
      </c>
      <c r="I283" s="14"/>
    </row>
    <row r="284" customFormat="false" ht="15" hidden="false" customHeight="false" outlineLevel="0" collapsed="false">
      <c r="A284" s="14"/>
      <c r="B284" s="14"/>
      <c r="C284" s="14"/>
      <c r="D284" s="14"/>
      <c r="E284" s="14"/>
      <c r="F284" s="14"/>
      <c r="G284" s="17"/>
      <c r="H284" s="19" t="str">
        <f aca="false">IF(G284="","",EDATE(G284,24))</f>
        <v/>
      </c>
      <c r="I284" s="14"/>
    </row>
    <row r="285" customFormat="false" ht="15" hidden="false" customHeight="false" outlineLevel="0" collapsed="false">
      <c r="A285" s="14"/>
      <c r="B285" s="14"/>
      <c r="C285" s="14"/>
      <c r="D285" s="14"/>
      <c r="E285" s="14"/>
      <c r="F285" s="14"/>
      <c r="G285" s="17"/>
      <c r="H285" s="19" t="str">
        <f aca="false">IF(G285="","",EDATE(G285,24))</f>
        <v/>
      </c>
      <c r="I285" s="14"/>
    </row>
    <row r="286" customFormat="false" ht="15" hidden="false" customHeight="false" outlineLevel="0" collapsed="false">
      <c r="A286" s="14"/>
      <c r="B286" s="14"/>
      <c r="C286" s="14"/>
      <c r="D286" s="14"/>
      <c r="E286" s="14"/>
      <c r="F286" s="14"/>
      <c r="G286" s="17"/>
      <c r="H286" s="19" t="str">
        <f aca="false">IF(G286="","",EDATE(G286,24))</f>
        <v/>
      </c>
      <c r="I286" s="14"/>
    </row>
    <row r="287" customFormat="false" ht="15" hidden="false" customHeight="false" outlineLevel="0" collapsed="false">
      <c r="A287" s="14"/>
      <c r="B287" s="14"/>
      <c r="C287" s="14"/>
      <c r="D287" s="14"/>
      <c r="E287" s="14"/>
      <c r="F287" s="14"/>
      <c r="G287" s="17"/>
      <c r="H287" s="19" t="str">
        <f aca="false">IF(G287="","",EDATE(G287,24))</f>
        <v/>
      </c>
      <c r="I287" s="14"/>
    </row>
    <row r="288" customFormat="false" ht="15" hidden="false" customHeight="false" outlineLevel="0" collapsed="false">
      <c r="A288" s="14"/>
      <c r="B288" s="14"/>
      <c r="C288" s="14"/>
      <c r="D288" s="14"/>
      <c r="E288" s="14"/>
      <c r="F288" s="14"/>
      <c r="G288" s="17"/>
      <c r="H288" s="19" t="str">
        <f aca="false">IF(G288="","",EDATE(G288,24))</f>
        <v/>
      </c>
      <c r="I288" s="14"/>
    </row>
    <row r="289" customFormat="false" ht="15" hidden="false" customHeight="false" outlineLevel="0" collapsed="false">
      <c r="A289" s="14"/>
      <c r="B289" s="14"/>
      <c r="C289" s="14"/>
      <c r="D289" s="14"/>
      <c r="E289" s="14"/>
      <c r="F289" s="14"/>
      <c r="G289" s="17"/>
      <c r="H289" s="19" t="str">
        <f aca="false">IF(G289="","",EDATE(G289,24))</f>
        <v/>
      </c>
      <c r="I289" s="14"/>
    </row>
    <row r="290" customFormat="false" ht="15" hidden="false" customHeight="false" outlineLevel="0" collapsed="false">
      <c r="A290" s="14"/>
      <c r="B290" s="14"/>
      <c r="C290" s="14"/>
      <c r="D290" s="14"/>
      <c r="E290" s="14"/>
      <c r="F290" s="14"/>
      <c r="G290" s="17"/>
      <c r="H290" s="19" t="str">
        <f aca="false">IF(G290="","",EDATE(G290,24))</f>
        <v/>
      </c>
      <c r="I290" s="14"/>
    </row>
    <row r="291" customFormat="false" ht="15" hidden="false" customHeight="false" outlineLevel="0" collapsed="false">
      <c r="A291" s="14"/>
      <c r="B291" s="14"/>
      <c r="C291" s="14"/>
      <c r="D291" s="14"/>
      <c r="E291" s="14"/>
      <c r="F291" s="14"/>
      <c r="G291" s="17"/>
      <c r="H291" s="19" t="str">
        <f aca="false">IF(G291="","",EDATE(G291,24))</f>
        <v/>
      </c>
      <c r="I291" s="14"/>
    </row>
    <row r="292" customFormat="false" ht="15" hidden="false" customHeight="false" outlineLevel="0" collapsed="false">
      <c r="A292" s="14"/>
      <c r="B292" s="14"/>
      <c r="C292" s="14"/>
      <c r="D292" s="14"/>
      <c r="E292" s="14"/>
      <c r="F292" s="14"/>
      <c r="G292" s="17"/>
      <c r="H292" s="19" t="str">
        <f aca="false">IF(G292="","",EDATE(G292,24))</f>
        <v/>
      </c>
      <c r="I292" s="14"/>
    </row>
    <row r="293" customFormat="false" ht="15" hidden="false" customHeight="false" outlineLevel="0" collapsed="false">
      <c r="A293" s="14"/>
      <c r="B293" s="14"/>
      <c r="C293" s="14"/>
      <c r="D293" s="14"/>
      <c r="E293" s="14"/>
      <c r="F293" s="14"/>
      <c r="G293" s="17"/>
      <c r="H293" s="19" t="str">
        <f aca="false">IF(G293="","",EDATE(G293,24))</f>
        <v/>
      </c>
      <c r="I293" s="14"/>
    </row>
    <row r="294" customFormat="false" ht="15" hidden="false" customHeight="false" outlineLevel="0" collapsed="false">
      <c r="A294" s="14"/>
      <c r="B294" s="14"/>
      <c r="C294" s="14"/>
      <c r="D294" s="14"/>
      <c r="E294" s="14"/>
      <c r="F294" s="14"/>
      <c r="G294" s="17"/>
      <c r="H294" s="19" t="str">
        <f aca="false">IF(G294="","",EDATE(G294,24))</f>
        <v/>
      </c>
      <c r="I294" s="14"/>
    </row>
    <row r="295" customFormat="false" ht="15" hidden="false" customHeight="false" outlineLevel="0" collapsed="false">
      <c r="A295" s="14"/>
      <c r="B295" s="14"/>
      <c r="C295" s="14"/>
      <c r="D295" s="14"/>
      <c r="E295" s="14"/>
      <c r="F295" s="14"/>
      <c r="G295" s="17"/>
      <c r="H295" s="19" t="str">
        <f aca="false">IF(G295="","",EDATE(G295,24))</f>
        <v/>
      </c>
      <c r="I295" s="14"/>
    </row>
    <row r="296" customFormat="false" ht="15" hidden="false" customHeight="false" outlineLevel="0" collapsed="false">
      <c r="A296" s="14"/>
      <c r="B296" s="14"/>
      <c r="C296" s="14"/>
      <c r="D296" s="14"/>
      <c r="E296" s="14"/>
      <c r="F296" s="14"/>
      <c r="G296" s="17"/>
      <c r="H296" s="19" t="str">
        <f aca="false">IF(G296="","",EDATE(G296,24))</f>
        <v/>
      </c>
      <c r="I296" s="14"/>
    </row>
    <row r="297" customFormat="false" ht="15" hidden="false" customHeight="false" outlineLevel="0" collapsed="false">
      <c r="A297" s="14"/>
      <c r="B297" s="14"/>
      <c r="C297" s="14"/>
      <c r="D297" s="14"/>
      <c r="E297" s="14"/>
      <c r="F297" s="14"/>
      <c r="G297" s="17"/>
      <c r="H297" s="19" t="str">
        <f aca="false">IF(G297="","",EDATE(G297,24))</f>
        <v/>
      </c>
      <c r="I297" s="14"/>
    </row>
    <row r="298" customFormat="false" ht="15" hidden="false" customHeight="false" outlineLevel="0" collapsed="false">
      <c r="A298" s="14"/>
      <c r="B298" s="14"/>
      <c r="C298" s="14"/>
      <c r="D298" s="14"/>
      <c r="E298" s="14"/>
      <c r="F298" s="14"/>
      <c r="G298" s="17"/>
      <c r="H298" s="19" t="str">
        <f aca="false">IF(G298="","",EDATE(G298,24))</f>
        <v/>
      </c>
      <c r="I298" s="14"/>
    </row>
    <row r="299" customFormat="false" ht="15" hidden="false" customHeight="false" outlineLevel="0" collapsed="false">
      <c r="A299" s="14"/>
      <c r="B299" s="14"/>
      <c r="C299" s="14"/>
      <c r="D299" s="14"/>
      <c r="E299" s="14"/>
      <c r="F299" s="14"/>
      <c r="G299" s="17"/>
      <c r="H299" s="19" t="str">
        <f aca="false">IF(G299="","",EDATE(G299,24))</f>
        <v/>
      </c>
      <c r="I299" s="14"/>
    </row>
    <row r="300" customFormat="false" ht="15" hidden="false" customHeight="false" outlineLevel="0" collapsed="false">
      <c r="A300" s="14"/>
      <c r="B300" s="14"/>
      <c r="C300" s="14"/>
      <c r="D300" s="14"/>
      <c r="E300" s="14"/>
      <c r="F300" s="14"/>
      <c r="G300" s="17"/>
      <c r="H300" s="19" t="str">
        <f aca="false">IF(G300="","",EDATE(G300,24))</f>
        <v/>
      </c>
      <c r="I300" s="14"/>
    </row>
    <row r="302" customFormat="false" ht="15" hidden="false" customHeight="false" outlineLevel="0" collapsed="false">
      <c r="A302" s="8" t="s">
        <v>137</v>
      </c>
    </row>
  </sheetData>
  <dataValidations count="1">
    <dataValidation allowBlank="true" errorStyle="stop" operator="between" showDropDown="false" showErrorMessage="false" showInputMessage="false" sqref="E5:E3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2026-10-25T04:32:08Z</dcterms:created>
  <dc:creator>openpyxl</dc:creator>
  <dc:description/>
  <dc:language>en-US</dc:language>
  <cp:lastModifiedBy/>
  <dcterms:modified xsi:type="dcterms:W3CDTF">2026-10-25T04:32:10Z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